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2">
    <numFmt numFmtId="164" formatCode="d/m/yyyy"/>
    <numFmt numFmtId="165" formatCode="yyyy-mm-dd"/>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9">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5" fontId="3" fillId="0"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c r="A2" t="inlineStr">
        <is>
          <t>Elaborado para: Luis Turpo — 17/03/2026</t>
        </is>
      </c>
    </row>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Luis Turpo</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Auxiliar de Recepción de Muestras</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46098</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46098</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46098</v>
      </c>
      <c r="G21" s="489" t="n">
        <v>13.3</v>
      </c>
      <c r="H21" s="490" t="n">
        <v>46098</v>
      </c>
      <c r="I21" s="5" t="n">
        <v>20</v>
      </c>
      <c r="J21" s="5" t="n"/>
      <c r="K21" s="5" t="n"/>
      <c r="L21" s="491" t="n">
        <v>46098</v>
      </c>
      <c r="M21" s="40" t="inlineStr">
        <is>
          <t>Carlos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2"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2"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46098</v>
      </c>
      <c r="F35" s="23" t="n">
        <v>20</v>
      </c>
      <c r="G35" s="23" t="n"/>
      <c r="H35" s="23" t="n"/>
      <c r="I35" s="493" t="n">
        <v>46098</v>
      </c>
      <c r="J35" s="21" t="inlineStr">
        <is>
          <t>Pendiente</t>
        </is>
      </c>
      <c r="K35" s="493" t="n">
        <v>45719</v>
      </c>
      <c r="L35" s="21" t="inlineStr">
        <is>
          <t>Satisfactorio</t>
        </is>
      </c>
      <c r="M35" s="493" t="n">
        <v>46098</v>
      </c>
      <c r="N35" s="21" t="inlineStr">
        <is>
          <t>Carlos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4" t="inlineStr">
        <is>
          <t>SUPERVISOR Y/O RESPONSABLE DEL ENTRENAMIENTO:</t>
        </is>
      </c>
      <c r="C49" s="471" t="n"/>
      <c r="D49" s="471" t="n"/>
      <c r="E49" s="471" t="n"/>
      <c r="F49" s="472" t="n"/>
      <c r="G49" s="495" t="inlineStr">
        <is>
          <t>Carlos Quispe</t>
        </is>
      </c>
      <c r="H49" s="472" t="n"/>
      <c r="I49" s="496" t="n">
        <v>46098</v>
      </c>
      <c r="J49" s="472" t="n"/>
      <c r="K49" s="214" t="n"/>
      <c r="L49" s="215" t="n"/>
      <c r="M49" s="13" t="n"/>
      <c r="N49" s="13" t="n"/>
      <c r="O49" s="13" t="n"/>
    </row>
    <row r="50" ht="23.4" customHeight="1" s="173">
      <c r="B50" s="494" t="inlineStr">
        <is>
          <t>JEFE / RESPONSABLE DEL ÁREA</t>
        </is>
      </c>
      <c r="C50" s="471" t="n"/>
      <c r="D50" s="471" t="n"/>
      <c r="E50" s="471" t="n"/>
      <c r="F50" s="472" t="n"/>
      <c r="G50" s="497" t="inlineStr">
        <is>
          <t>Ing. Dalmecio Miranda</t>
        </is>
      </c>
      <c r="H50" s="472" t="n"/>
      <c r="I50" s="496">
        <f>M35</f>
        <v/>
      </c>
      <c r="J50" s="472" t="n"/>
      <c r="K50" s="498"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9" t="n"/>
      <c r="C1" s="469" t="n"/>
      <c r="D1" s="500"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1"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2" t="inlineStr">
        <is>
          <t>Periodo de Entrenamiento:</t>
        </is>
      </c>
      <c r="C8" s="471" t="n"/>
      <c r="D8" s="472" t="n"/>
      <c r="E8" s="122" t="inlineStr">
        <is>
          <t>01 de Febrero 2025 al 01 de Abril 2025</t>
        </is>
      </c>
      <c r="F8" s="123" t="n"/>
      <c r="G8" s="123" t="n"/>
      <c r="H8" s="502" t="inlineStr">
        <is>
          <t>Fecha de Inicio:</t>
        </is>
      </c>
      <c r="I8" s="471" t="n"/>
      <c r="J8" s="472" t="n"/>
      <c r="K8" s="124" t="n"/>
      <c r="L8" s="125" t="n">
        <v>45689</v>
      </c>
      <c r="M8" s="123" t="n"/>
      <c r="N8" s="502"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3" t="inlineStr">
        <is>
          <t>Método:</t>
        </is>
      </c>
      <c r="C10" s="471" t="n"/>
      <c r="D10" s="472" t="n"/>
      <c r="E10" s="504"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3" t="inlineStr">
        <is>
          <t>Alcance/Matriz:</t>
        </is>
      </c>
      <c r="C12" s="471" t="n"/>
      <c r="D12" s="472" t="n"/>
      <c r="E12" s="504"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5" t="inlineStr">
        <is>
          <t>Evaluación</t>
        </is>
      </c>
      <c r="G16" s="472" t="n"/>
      <c r="H16" s="505" t="inlineStr">
        <is>
          <t>Evaluación</t>
        </is>
      </c>
      <c r="I16" s="472" t="n"/>
      <c r="J16" s="505" t="inlineStr">
        <is>
          <t>1era Supervisión</t>
        </is>
      </c>
      <c r="K16" s="472" t="n"/>
      <c r="L16" s="505" t="inlineStr">
        <is>
          <t>2da Supervisión</t>
        </is>
      </c>
      <c r="M16" s="472" t="n"/>
      <c r="N16" s="506" t="inlineStr">
        <is>
          <t>Fecha</t>
        </is>
      </c>
      <c r="O16" s="506"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7"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8"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10"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1" t="n"/>
      <c r="Q19" s="118" t="n"/>
      <c r="R19" s="118" t="n"/>
      <c r="S19" s="118" t="n"/>
      <c r="T19" s="118" t="n"/>
      <c r="U19" s="118" t="n"/>
      <c r="V19" s="118" t="n"/>
      <c r="W19" s="118" t="n"/>
      <c r="X19" s="118" t="n"/>
      <c r="Y19" s="118" t="n"/>
      <c r="Z19" s="118" t="n"/>
    </row>
    <row r="20" ht="45" customHeight="1" s="173">
      <c r="A20" s="119" t="n"/>
      <c r="B20" s="137" t="n">
        <v>3</v>
      </c>
      <c r="C20" s="507"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1"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1" t="n"/>
      <c r="Q21" s="118" t="n"/>
      <c r="R21" s="118" t="n"/>
      <c r="S21" s="118" t="n"/>
      <c r="T21" s="118" t="n"/>
      <c r="U21" s="118" t="n"/>
      <c r="V21" s="118" t="n"/>
      <c r="W21" s="118" t="n"/>
      <c r="X21" s="118" t="n"/>
      <c r="Y21" s="118" t="n"/>
      <c r="Z21" s="118" t="n"/>
    </row>
    <row r="22" ht="54.75" customHeight="1" s="173">
      <c r="A22" s="119" t="n"/>
      <c r="B22" s="137" t="n">
        <v>5</v>
      </c>
      <c r="C22" s="507" t="n"/>
      <c r="D22" s="471" t="n"/>
      <c r="E22" s="472" t="n"/>
      <c r="F22" s="138" t="n"/>
      <c r="G22" s="139" t="n"/>
      <c r="H22" s="140" t="n"/>
      <c r="I22" s="140" t="n"/>
      <c r="J22" s="484" t="n"/>
      <c r="K22" s="484" t="n"/>
      <c r="L22" s="484" t="n"/>
      <c r="M22" s="484" t="n"/>
      <c r="N22" s="484" t="n"/>
      <c r="O22" s="484" t="n"/>
      <c r="P22" s="511" t="n"/>
      <c r="Q22" s="118" t="n"/>
      <c r="R22" s="118" t="n"/>
      <c r="S22" s="118" t="n"/>
      <c r="T22" s="118" t="n"/>
      <c r="U22" s="118" t="n"/>
      <c r="V22" s="118" t="n"/>
      <c r="W22" s="118" t="n"/>
      <c r="X22" s="118" t="n"/>
      <c r="Y22" s="118" t="n"/>
      <c r="Z22" s="118" t="n"/>
    </row>
    <row r="23" ht="57.75" customHeight="1" s="173">
      <c r="A23" s="119" t="n"/>
      <c r="B23" s="137" t="n">
        <v>6</v>
      </c>
      <c r="C23" s="507" t="n"/>
      <c r="D23" s="471" t="n"/>
      <c r="E23" s="472" t="n"/>
      <c r="F23" s="140" t="n"/>
      <c r="G23" s="140" t="n"/>
      <c r="H23" s="140" t="n"/>
      <c r="I23" s="140" t="n"/>
      <c r="J23" s="487" t="n"/>
      <c r="K23" s="487" t="n"/>
      <c r="L23" s="487" t="n"/>
      <c r="M23" s="487" t="n"/>
      <c r="N23" s="487" t="n"/>
      <c r="O23" s="487" t="n"/>
      <c r="P23" s="512"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3"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3" t="inlineStr">
        <is>
          <t>Instrumental:</t>
        </is>
      </c>
      <c r="C28" s="471" t="n"/>
      <c r="D28" s="472" t="n"/>
      <c r="E28" s="163" t="n"/>
      <c r="F28" s="472" t="n"/>
      <c r="G28" s="514"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3" t="inlineStr">
        <is>
          <t>Equipos de Mesa:</t>
        </is>
      </c>
      <c r="C29" s="471" t="n"/>
      <c r="D29" s="472" t="n"/>
      <c r="E29" s="163" t="inlineStr">
        <is>
          <t>Potenciometro</t>
        </is>
      </c>
      <c r="F29" s="472" t="n"/>
      <c r="G29" s="515"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3" t="inlineStr">
        <is>
          <t>Equipos Complementarios:</t>
        </is>
      </c>
      <c r="C30" s="476" t="n"/>
      <c r="D30" s="469" t="n"/>
      <c r="E30" s="163" t="n"/>
      <c r="F30" s="472" t="n"/>
      <c r="G30" s="508"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8"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8"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6" t="inlineStr">
        <is>
          <t>Material de Vidrio:</t>
        </is>
      </c>
      <c r="C33" s="476" t="n"/>
      <c r="D33" s="469" t="n"/>
      <c r="E33" s="163" t="n"/>
      <c r="F33" s="472" t="n"/>
      <c r="G33" s="515"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8"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8"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7" t="inlineStr">
        <is>
          <t>Autorización Para la Ejecución del Ensayo:</t>
        </is>
      </c>
      <c r="C38" s="476" t="n"/>
      <c r="D38" s="469" t="n"/>
      <c r="E38" s="518" t="inlineStr">
        <is>
          <t>Autorización Total</t>
        </is>
      </c>
      <c r="F38" s="476" t="n"/>
      <c r="G38" s="476" t="n"/>
      <c r="H38" s="476" t="n"/>
      <c r="I38" s="469" t="n"/>
      <c r="J38" s="518" t="inlineStr">
        <is>
          <t xml:space="preserve">Fecha: </t>
        </is>
      </c>
      <c r="K38" s="519">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7"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20"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3" t="inlineStr">
        <is>
          <t>RESPONSABLE DEL ENTRENAMIENTO:</t>
        </is>
      </c>
      <c r="C52" s="471" t="n"/>
      <c r="D52" s="471" t="n"/>
      <c r="E52" s="471" t="n"/>
      <c r="F52" s="472" t="n"/>
      <c r="G52" s="495" t="inlineStr">
        <is>
          <t>Ing. Dalmecio Miranda</t>
        </is>
      </c>
      <c r="H52" s="472" t="n"/>
      <c r="I52" s="521">
        <f>+K38</f>
        <v/>
      </c>
      <c r="J52" s="472" t="n"/>
      <c r="K52" s="522"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3" t="inlineStr">
        <is>
          <t>RESPONSABLE DEL LABORATORIO</t>
        </is>
      </c>
      <c r="C53" s="471" t="n"/>
      <c r="D53" s="471" t="n"/>
      <c r="E53" s="471" t="n"/>
      <c r="F53" s="472" t="n"/>
      <c r="G53" s="497" t="inlineStr">
        <is>
          <t>Ing. Dalmecio Miranda</t>
        </is>
      </c>
      <c r="H53" s="472" t="n"/>
      <c r="I53" s="521">
        <f>K38</f>
        <v/>
      </c>
      <c r="J53" s="472" t="n"/>
      <c r="K53" s="522"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3" t="inlineStr">
        <is>
          <t>PERSONAL ENTRENADO</t>
        </is>
      </c>
      <c r="C54" s="471" t="n"/>
      <c r="D54" s="471" t="n"/>
      <c r="E54" s="471" t="n"/>
      <c r="F54" s="472" t="n"/>
      <c r="G54" s="524" t="inlineStr">
        <is>
          <t>Miriam Keila Osorio Andia</t>
        </is>
      </c>
      <c r="H54" s="472" t="n"/>
      <c r="I54" s="521">
        <f>K38</f>
        <v/>
      </c>
      <c r="J54" s="472" t="n"/>
      <c r="K54" s="522"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5"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6" t="inlineStr">
        <is>
          <t xml:space="preserve">Supervisión </t>
        </is>
      </c>
      <c r="D58" s="527" t="n"/>
      <c r="E58" s="287" t="inlineStr">
        <is>
          <t>F-56</t>
        </is>
      </c>
      <c r="F58" s="528" t="n"/>
      <c r="G58" s="527" t="n"/>
      <c r="H58" s="287" t="inlineStr">
        <is>
          <t>Suelo</t>
        </is>
      </c>
      <c r="I58" s="527" t="n"/>
      <c r="J58" s="81" t="n">
        <v>45847</v>
      </c>
      <c r="K58" s="529" t="inlineStr">
        <is>
          <t>Ing. Karla Chavez Zea</t>
        </is>
      </c>
      <c r="L58" s="527" t="n"/>
      <c r="M58" s="288" t="inlineStr">
        <is>
          <t>Satisfactorio</t>
        </is>
      </c>
      <c r="N58" s="527"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6" t="n"/>
      <c r="D59" s="527" t="n"/>
      <c r="E59" s="287" t="n"/>
      <c r="F59" s="528" t="n"/>
      <c r="G59" s="527" t="n"/>
      <c r="H59" s="287" t="n"/>
      <c r="I59" s="527" t="n"/>
      <c r="J59" s="81" t="n"/>
      <c r="K59" s="529" t="n"/>
      <c r="L59" s="527" t="n"/>
      <c r="M59" s="288" t="n"/>
      <c r="N59" s="527"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9" t="n"/>
      <c r="C1" s="469" t="n"/>
      <c r="D1" s="500"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1"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2" t="inlineStr">
        <is>
          <t>Periodo de Entrenamiento:</t>
        </is>
      </c>
      <c r="C8" s="471" t="n"/>
      <c r="D8" s="472" t="n"/>
      <c r="E8" s="122" t="inlineStr">
        <is>
          <t>01 de Marzo de 2025 al 01 de Mayo de 2025</t>
        </is>
      </c>
      <c r="F8" s="123" t="n"/>
      <c r="G8" s="123" t="n"/>
      <c r="H8" s="502" t="inlineStr">
        <is>
          <t>Fecha de Inicio:</t>
        </is>
      </c>
      <c r="I8" s="471" t="n"/>
      <c r="J8" s="472" t="n"/>
      <c r="K8" s="530" t="n">
        <v>45717</v>
      </c>
      <c r="L8" s="471" t="n"/>
      <c r="M8" s="472" t="n"/>
      <c r="N8" s="502"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3" t="inlineStr">
        <is>
          <t>Método:</t>
        </is>
      </c>
      <c r="C10" s="471" t="n"/>
      <c r="D10" s="472" t="n"/>
      <c r="E10" s="504"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3" t="inlineStr">
        <is>
          <t>Alcance/Matriz:</t>
        </is>
      </c>
      <c r="C12" s="471" t="n"/>
      <c r="D12" s="472" t="n"/>
      <c r="E12" s="504"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5" t="inlineStr">
        <is>
          <t>Evaluación</t>
        </is>
      </c>
      <c r="G16" s="472" t="n"/>
      <c r="H16" s="505" t="inlineStr">
        <is>
          <t>Evaluación</t>
        </is>
      </c>
      <c r="I16" s="472" t="n"/>
      <c r="J16" s="505" t="inlineStr">
        <is>
          <t>1era Supervisión</t>
        </is>
      </c>
      <c r="K16" s="472" t="n"/>
      <c r="L16" s="505" t="inlineStr">
        <is>
          <t>2da Supervisión</t>
        </is>
      </c>
      <c r="M16" s="472" t="n"/>
      <c r="N16" s="506" t="inlineStr">
        <is>
          <t>Fecha</t>
        </is>
      </c>
      <c r="O16" s="506"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7"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8"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10"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1" t="n"/>
      <c r="Q19" s="118" t="n"/>
      <c r="R19" s="118" t="n"/>
      <c r="S19" s="118" t="n"/>
      <c r="T19" s="118" t="n"/>
      <c r="U19" s="118" t="n"/>
      <c r="V19" s="118" t="n"/>
      <c r="W19" s="118" t="n"/>
      <c r="X19" s="118" t="n"/>
      <c r="Y19" s="118" t="n"/>
      <c r="Z19" s="118" t="n"/>
    </row>
    <row r="20" ht="45" customHeight="1" s="173">
      <c r="A20" s="119" t="n"/>
      <c r="B20" s="137" t="n">
        <v>3</v>
      </c>
      <c r="C20" s="507"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1" t="n"/>
      <c r="Q20" s="118" t="n"/>
      <c r="R20" s="118" t="n"/>
      <c r="S20" s="118" t="n"/>
      <c r="T20" s="118" t="n"/>
      <c r="U20" s="118" t="n"/>
      <c r="V20" s="118" t="n"/>
      <c r="W20" s="118" t="n"/>
      <c r="X20" s="118" t="n"/>
      <c r="Y20" s="118" t="n"/>
      <c r="Z20" s="118" t="n"/>
    </row>
    <row r="21" ht="45" customHeight="1" s="173">
      <c r="A21" s="119" t="n"/>
      <c r="B21" s="137" t="n">
        <v>4</v>
      </c>
      <c r="C21" s="507" t="inlineStr">
        <is>
          <t>Lectura de muestras de aguas</t>
        </is>
      </c>
      <c r="D21" s="471" t="n"/>
      <c r="E21" s="472" t="n"/>
      <c r="F21" s="138" t="n">
        <v>45717</v>
      </c>
      <c r="G21" s="139" t="inlineStr">
        <is>
          <t>NA</t>
        </is>
      </c>
      <c r="H21" s="140" t="n"/>
      <c r="I21" s="140" t="n"/>
      <c r="J21" s="484" t="n"/>
      <c r="K21" s="484" t="n"/>
      <c r="L21" s="484" t="n"/>
      <c r="M21" s="484" t="n"/>
      <c r="N21" s="484" t="n"/>
      <c r="O21" s="484" t="n"/>
      <c r="P21" s="511" t="n"/>
      <c r="Q21" s="118" t="n"/>
      <c r="R21" s="118" t="n"/>
      <c r="S21" s="118" t="n"/>
      <c r="T21" s="118" t="n"/>
      <c r="U21" s="118" t="n"/>
      <c r="V21" s="118" t="n"/>
      <c r="W21" s="118" t="n"/>
      <c r="X21" s="118" t="n"/>
      <c r="Y21" s="118" t="n"/>
      <c r="Z21" s="118" t="n"/>
    </row>
    <row r="22" ht="54.75" customHeight="1" s="173">
      <c r="A22" s="119" t="n"/>
      <c r="B22" s="137" t="n">
        <v>5</v>
      </c>
      <c r="C22" s="507" t="n"/>
      <c r="D22" s="471" t="n"/>
      <c r="E22" s="472" t="n"/>
      <c r="F22" s="138" t="n"/>
      <c r="G22" s="139" t="n"/>
      <c r="H22" s="140" t="n"/>
      <c r="I22" s="140" t="n"/>
      <c r="J22" s="484" t="n"/>
      <c r="K22" s="484" t="n"/>
      <c r="L22" s="484" t="n"/>
      <c r="M22" s="484" t="n"/>
      <c r="N22" s="484" t="n"/>
      <c r="O22" s="484" t="n"/>
      <c r="P22" s="511" t="n"/>
      <c r="Q22" s="118" t="n"/>
      <c r="R22" s="118" t="n"/>
      <c r="S22" s="118" t="n"/>
      <c r="T22" s="118" t="n"/>
      <c r="U22" s="118" t="n"/>
      <c r="V22" s="118" t="n"/>
      <c r="W22" s="118" t="n"/>
      <c r="X22" s="118" t="n"/>
      <c r="Y22" s="118" t="n"/>
      <c r="Z22" s="118" t="n"/>
    </row>
    <row r="23" ht="57.75" customHeight="1" s="173">
      <c r="A23" s="119" t="n"/>
      <c r="B23" s="137" t="n">
        <v>6</v>
      </c>
      <c r="C23" s="507" t="n"/>
      <c r="D23" s="471" t="n"/>
      <c r="E23" s="472" t="n"/>
      <c r="F23" s="140" t="n"/>
      <c r="G23" s="140" t="n"/>
      <c r="H23" s="140" t="n"/>
      <c r="I23" s="140" t="n"/>
      <c r="J23" s="487" t="n"/>
      <c r="K23" s="487" t="n"/>
      <c r="L23" s="487" t="n"/>
      <c r="M23" s="487" t="n"/>
      <c r="N23" s="487" t="n"/>
      <c r="O23" s="487" t="n"/>
      <c r="P23" s="512"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3"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3" t="inlineStr">
        <is>
          <t>Instrumental:</t>
        </is>
      </c>
      <c r="C28" s="471" t="n"/>
      <c r="D28" s="472" t="n"/>
      <c r="E28" s="163" t="n"/>
      <c r="F28" s="472" t="n"/>
      <c r="G28" s="514"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3" t="inlineStr">
        <is>
          <t>Equipos de Mesa:</t>
        </is>
      </c>
      <c r="C29" s="476" t="n"/>
      <c r="D29" s="469" t="n"/>
      <c r="E29" s="163" t="inlineStr">
        <is>
          <t>Conductimetros</t>
        </is>
      </c>
      <c r="F29" s="472" t="n"/>
      <c r="G29" s="515"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1" t="inlineStr">
        <is>
          <t>Balanza</t>
        </is>
      </c>
      <c r="F30" s="472" t="n"/>
      <c r="G30" s="515"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3" t="inlineStr">
        <is>
          <t>Equipos Complementarios:</t>
        </is>
      </c>
      <c r="C31" s="476" t="n"/>
      <c r="D31" s="469" t="n"/>
      <c r="E31" s="163" t="n"/>
      <c r="F31" s="472" t="n"/>
      <c r="G31" s="508"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8"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8"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6" t="inlineStr">
        <is>
          <t>Material de Vidrio:</t>
        </is>
      </c>
      <c r="C34" s="476" t="n"/>
      <c r="D34" s="469" t="n"/>
      <c r="E34" s="163" t="n"/>
      <c r="F34" s="472" t="n"/>
      <c r="G34" s="515"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8"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8"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7" t="inlineStr">
        <is>
          <t>Autorización Para la Ejecución del Ensayo:</t>
        </is>
      </c>
      <c r="C39" s="476" t="n"/>
      <c r="D39" s="469" t="n"/>
      <c r="E39" s="518" t="inlineStr">
        <is>
          <t>Autorización Total</t>
        </is>
      </c>
      <c r="F39" s="476" t="n"/>
      <c r="G39" s="476" t="n"/>
      <c r="H39" s="476" t="n"/>
      <c r="I39" s="469" t="n"/>
      <c r="J39" s="518" t="inlineStr">
        <is>
          <t xml:space="preserve">Fecha: </t>
        </is>
      </c>
      <c r="K39" s="519">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7"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20"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3" t="inlineStr">
        <is>
          <t>RESPONSABLE DEL ENTRENAMIENTO:</t>
        </is>
      </c>
      <c r="C53" s="471" t="n"/>
      <c r="D53" s="471" t="n"/>
      <c r="E53" s="471" t="n"/>
      <c r="F53" s="472" t="n"/>
      <c r="G53" s="495" t="inlineStr">
        <is>
          <t>Ing. Dalmecio Miranda</t>
        </is>
      </c>
      <c r="H53" s="472" t="n"/>
      <c r="I53" s="521">
        <f>K39</f>
        <v/>
      </c>
      <c r="J53" s="472" t="n"/>
      <c r="K53" s="522"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3" t="inlineStr">
        <is>
          <t>RESPONSABLE DEL LABORATORIO</t>
        </is>
      </c>
      <c r="C54" s="471" t="n"/>
      <c r="D54" s="471" t="n"/>
      <c r="E54" s="471" t="n"/>
      <c r="F54" s="472" t="n"/>
      <c r="G54" s="497" t="inlineStr">
        <is>
          <t>Ing. Dalmecio Miranda</t>
        </is>
      </c>
      <c r="H54" s="472" t="n"/>
      <c r="I54" s="532">
        <f>K39</f>
        <v/>
      </c>
      <c r="J54" s="472" t="n"/>
      <c r="K54" s="522"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3" t="inlineStr">
        <is>
          <t>PERSONAL ENTRENADO</t>
        </is>
      </c>
      <c r="C55" s="471" t="n"/>
      <c r="D55" s="471" t="n"/>
      <c r="E55" s="471" t="n"/>
      <c r="F55" s="472" t="n"/>
      <c r="G55" s="524" t="inlineStr">
        <is>
          <t>Miriam Keila Osorio Andia</t>
        </is>
      </c>
      <c r="H55" s="472" t="n"/>
      <c r="I55" s="521">
        <f>K39</f>
        <v/>
      </c>
      <c r="J55" s="472" t="n"/>
      <c r="K55" s="522"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5"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6" t="inlineStr">
        <is>
          <t xml:space="preserve">Supervisión </t>
        </is>
      </c>
      <c r="D59" s="527" t="n"/>
      <c r="E59" s="287" t="inlineStr">
        <is>
          <t>F-56</t>
        </is>
      </c>
      <c r="F59" s="528" t="n"/>
      <c r="G59" s="527" t="n"/>
      <c r="H59" s="287" t="inlineStr">
        <is>
          <t>Suelo</t>
        </is>
      </c>
      <c r="I59" s="527" t="n"/>
      <c r="J59" s="81" t="n">
        <v>45847</v>
      </c>
      <c r="K59" s="529" t="inlineStr">
        <is>
          <t>Ing. Karla Chavez Zea</t>
        </is>
      </c>
      <c r="L59" s="527" t="n"/>
      <c r="M59" s="288" t="inlineStr">
        <is>
          <t>Satisfactorio</t>
        </is>
      </c>
      <c r="N59" s="527"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6" t="n"/>
      <c r="D60" s="527" t="n"/>
      <c r="E60" s="287" t="n"/>
      <c r="F60" s="528" t="n"/>
      <c r="G60" s="527" t="n"/>
      <c r="H60" s="287" t="n"/>
      <c r="I60" s="527" t="n"/>
      <c r="J60" s="81" t="n"/>
      <c r="K60" s="529" t="n"/>
      <c r="L60" s="527" t="n"/>
      <c r="M60" s="288" t="n"/>
      <c r="N60" s="527"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122" t="inlineStr">
        <is>
          <t>01 de Febrero 2025 al 01 de Abril 2025</t>
        </is>
      </c>
      <c r="F8" s="123" t="n"/>
      <c r="G8" s="123" t="n"/>
      <c r="H8" s="502" t="inlineStr">
        <is>
          <t>Fecha de Inicio:</t>
        </is>
      </c>
      <c r="I8" s="471" t="n"/>
      <c r="J8" s="472" t="n"/>
      <c r="K8" s="124" t="n"/>
      <c r="L8" s="125" t="n">
        <v>45689</v>
      </c>
      <c r="M8" s="123" t="n"/>
      <c r="N8" s="502"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8" t="n"/>
      <c r="D10" s="527" t="n"/>
      <c r="E10" s="329" t="inlineStr">
        <is>
          <t>EPA 9045D, Rev. 4, 2004. Soil and waste pH</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 Agricola</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543" t="inlineStr">
        <is>
          <t>Difusiòn del Metodo  pH en Suelo-Suelo Agricola por el método  EPA 9045D, Rev. 4, 2004. Soil and waste Ph</t>
        </is>
      </c>
      <c r="D18" s="528" t="n"/>
      <c r="E18" s="527"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9" t="inlineStr">
        <is>
          <t>Alcance y Aplicación del método, Interferencias, Reactivos y Estandares. Colección de la muestra / Preservacion y Almacenamiento</t>
        </is>
      </c>
      <c r="D19" s="528" t="n"/>
      <c r="E19" s="527" t="n"/>
      <c r="F19" s="96" t="n">
        <v>45691</v>
      </c>
      <c r="G19" s="95" t="inlineStr">
        <is>
          <t>NA</t>
        </is>
      </c>
      <c r="H19" s="69" t="n"/>
      <c r="I19" s="69" t="n"/>
      <c r="J19" s="511" t="n"/>
      <c r="K19" s="511" t="n"/>
      <c r="L19" s="484" t="n"/>
      <c r="M19" s="484" t="n"/>
      <c r="N19" s="511" t="n"/>
      <c r="O19" s="511" t="n"/>
      <c r="P19" s="511" t="n"/>
    </row>
    <row r="20" ht="45" customHeight="1" s="173">
      <c r="A20" s="78" t="n"/>
      <c r="B20" s="94" t="n">
        <v>3</v>
      </c>
      <c r="C20" s="543" t="inlineStr">
        <is>
          <t>Calibración y/o Verificación; calculos</t>
        </is>
      </c>
      <c r="D20" s="528" t="n"/>
      <c r="E20" s="527" t="n"/>
      <c r="F20" s="96" t="n">
        <v>45691</v>
      </c>
      <c r="G20" s="95" t="inlineStr">
        <is>
          <t>NA</t>
        </is>
      </c>
      <c r="H20" s="69" t="n"/>
      <c r="I20" s="69" t="n"/>
      <c r="J20" s="511" t="n"/>
      <c r="K20" s="511" t="n"/>
      <c r="L20" s="484" t="n"/>
      <c r="M20" s="484" t="n"/>
      <c r="N20" s="511" t="n"/>
      <c r="O20" s="511" t="n"/>
      <c r="P20" s="511" t="n"/>
    </row>
    <row r="21" ht="45" customHeight="1" s="173">
      <c r="A21" s="78" t="n"/>
      <c r="B21" s="94" t="n">
        <v>4</v>
      </c>
      <c r="C21" s="543" t="inlineStr">
        <is>
          <t>Lectura de muestras de suelos</t>
        </is>
      </c>
      <c r="D21" s="528" t="n"/>
      <c r="E21" s="527" t="n"/>
      <c r="F21" s="96" t="n">
        <v>45691</v>
      </c>
      <c r="G21" s="95" t="inlineStr">
        <is>
          <t>NA</t>
        </is>
      </c>
      <c r="H21" s="69" t="n"/>
      <c r="I21" s="69" t="n"/>
      <c r="J21" s="511" t="n"/>
      <c r="K21" s="511" t="n"/>
      <c r="L21" s="484" t="n"/>
      <c r="M21" s="484" t="n"/>
      <c r="N21" s="511" t="n"/>
      <c r="O21" s="511" t="n"/>
      <c r="P21" s="511" t="n"/>
    </row>
    <row r="22" ht="54.75" customHeight="1" s="173">
      <c r="A22" s="78" t="n"/>
      <c r="B22" s="94" t="n">
        <v>5</v>
      </c>
      <c r="C22" s="543"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inlineStr">
        <is>
          <t>NA</t>
        </is>
      </c>
      <c r="H28" s="528" t="n"/>
      <c r="I28" s="527" t="n"/>
      <c r="J28" s="74" t="n"/>
      <c r="K28" s="67" t="n"/>
      <c r="L28" s="74" t="n"/>
      <c r="M28" s="74" t="n"/>
      <c r="N28" s="74" t="n"/>
      <c r="O28" s="74" t="n"/>
      <c r="P28" s="74" t="n"/>
    </row>
    <row r="29" ht="20.1" customHeight="1" s="173">
      <c r="A29" s="78" t="n"/>
      <c r="B29" s="363" t="inlineStr">
        <is>
          <t>Equipos de Mesa:</t>
        </is>
      </c>
      <c r="C29" s="538" t="n"/>
      <c r="D29" s="533" t="n"/>
      <c r="E29" s="364" t="inlineStr">
        <is>
          <t>Balanza</t>
        </is>
      </c>
      <c r="F29" s="527" t="n"/>
      <c r="G29" s="545" t="inlineStr">
        <is>
          <t>EQ-097-ILL</t>
        </is>
      </c>
      <c r="H29" s="528" t="n"/>
      <c r="I29" s="527" t="n"/>
      <c r="J29" s="74" t="n"/>
      <c r="K29" s="67" t="n"/>
      <c r="L29" s="74" t="n"/>
      <c r="M29" s="74" t="n"/>
      <c r="N29" s="74" t="n"/>
      <c r="O29" s="74" t="n"/>
      <c r="P29" s="74" t="n"/>
    </row>
    <row r="30" ht="20.1" customHeight="1" s="173">
      <c r="A30" s="78" t="n"/>
      <c r="B30" s="539" t="n"/>
      <c r="C30" s="541" t="n"/>
      <c r="D30" s="540" t="n"/>
      <c r="E30" s="364" t="inlineStr">
        <is>
          <t>Potenciometro</t>
        </is>
      </c>
      <c r="F30" s="527" t="n"/>
      <c r="G30" s="546" t="inlineStr">
        <is>
          <t>EQ-075-ILL</t>
        </is>
      </c>
      <c r="H30" s="528" t="n"/>
      <c r="I30" s="527" t="n"/>
      <c r="J30" s="74" t="n"/>
      <c r="K30" s="74" t="n"/>
      <c r="L30" s="74" t="n"/>
      <c r="M30" s="74" t="n"/>
      <c r="N30" s="74" t="n"/>
      <c r="O30" s="74" t="n"/>
      <c r="P30" s="74" t="n"/>
    </row>
    <row r="31" ht="20.1" customHeight="1" s="173">
      <c r="A31" s="78" t="n"/>
      <c r="B31" s="363" t="inlineStr">
        <is>
          <t>Equipos Complementarios:</t>
        </is>
      </c>
      <c r="C31" s="538" t="n"/>
      <c r="D31" s="533" t="n"/>
      <c r="E31" s="364" t="n"/>
      <c r="F31" s="527" t="n"/>
      <c r="G31" s="545" t="n"/>
      <c r="H31" s="528" t="n"/>
      <c r="I31" s="527" t="n"/>
      <c r="J31" s="74" t="n"/>
      <c r="K31" s="74" t="n"/>
      <c r="L31" s="74" t="n"/>
      <c r="M31" s="74" t="n"/>
      <c r="N31" s="74" t="n"/>
      <c r="O31" s="74" t="n"/>
      <c r="P31" s="74" t="n"/>
    </row>
    <row r="32" ht="20.1" customHeight="1" s="173">
      <c r="A32" s="78" t="n"/>
      <c r="B32" s="535" t="n"/>
      <c r="D32" s="536" t="n"/>
      <c r="E32" s="364" t="n"/>
      <c r="F32" s="527" t="n"/>
      <c r="G32" s="545" t="n"/>
      <c r="H32" s="528" t="n"/>
      <c r="I32" s="527" t="n"/>
      <c r="J32" s="74" t="n"/>
      <c r="K32" s="74" t="n"/>
      <c r="L32" s="74" t="n"/>
      <c r="M32" s="74" t="n"/>
      <c r="N32" s="74" t="n"/>
      <c r="O32" s="74" t="n"/>
      <c r="P32" s="74" t="n"/>
    </row>
    <row r="33" ht="20.1" customHeight="1" s="173">
      <c r="A33" s="78" t="n"/>
      <c r="B33" s="539" t="n"/>
      <c r="C33" s="541" t="n"/>
      <c r="D33" s="540" t="n"/>
      <c r="E33" s="364" t="inlineStr">
        <is>
          <t>Agitador Magnetico</t>
        </is>
      </c>
      <c r="F33" s="527" t="n"/>
      <c r="G33" s="545" t="inlineStr">
        <is>
          <t>EQ-069-ILL</t>
        </is>
      </c>
      <c r="H33" s="528" t="n"/>
      <c r="I33" s="527" t="n"/>
      <c r="J33" s="74" t="n"/>
      <c r="K33" s="74" t="n"/>
      <c r="L33" s="74" t="n"/>
      <c r="M33" s="74" t="n"/>
      <c r="N33" s="74" t="n"/>
      <c r="O33" s="74" t="n"/>
      <c r="P33" s="74" t="n"/>
    </row>
    <row r="34" ht="20.1" customHeight="1" s="173">
      <c r="A34" s="78" t="n"/>
      <c r="B34" s="547" t="inlineStr">
        <is>
          <t>Material de Vidrio:</t>
        </is>
      </c>
      <c r="C34" s="538" t="n"/>
      <c r="D34" s="533" t="n"/>
      <c r="E34" s="364" t="n"/>
      <c r="F34" s="527" t="n"/>
      <c r="G34" s="546" t="n"/>
      <c r="H34" s="528" t="n"/>
      <c r="I34" s="527" t="n"/>
      <c r="J34" s="74" t="n"/>
      <c r="K34" s="74" t="n"/>
      <c r="L34" s="74" t="n"/>
      <c r="M34" s="74" t="n"/>
      <c r="N34" s="74" t="n"/>
      <c r="O34" s="74" t="n"/>
      <c r="P34" s="74" t="n"/>
    </row>
    <row r="35" ht="20.1" customHeight="1" s="173">
      <c r="A35" s="78" t="n"/>
      <c r="B35" s="535" t="n"/>
      <c r="D35" s="536" t="n"/>
      <c r="E35" s="364" t="inlineStr">
        <is>
          <t>Vasos de Precipitado</t>
        </is>
      </c>
      <c r="F35" s="527" t="n"/>
      <c r="G35" s="545" t="inlineStr">
        <is>
          <t>50 ml</t>
        </is>
      </c>
      <c r="H35" s="528" t="n"/>
      <c r="I35" s="527" t="n"/>
      <c r="J35" s="74" t="n"/>
      <c r="K35" s="74" t="n"/>
      <c r="L35" s="74" t="n"/>
      <c r="M35" s="74" t="n"/>
      <c r="N35" s="74" t="n"/>
      <c r="O35" s="74" t="n"/>
      <c r="P35" s="74" t="n"/>
    </row>
    <row r="36" ht="20.1" customHeight="1" s="173">
      <c r="A36" s="78" t="n"/>
      <c r="B36" s="535" t="n"/>
      <c r="D36" s="536" t="n"/>
      <c r="E36" s="364" t="inlineStr">
        <is>
          <t>Probeta</t>
        </is>
      </c>
      <c r="F36" s="527" t="n"/>
      <c r="G36" s="545" t="inlineStr">
        <is>
          <t>50 ml</t>
        </is>
      </c>
      <c r="H36" s="528" t="n"/>
      <c r="I36" s="527"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8" t="n"/>
      <c r="D39" s="533" t="n"/>
      <c r="E39" s="389" t="inlineStr">
        <is>
          <t>Autorización Total</t>
        </is>
      </c>
      <c r="F39" s="538" t="n"/>
      <c r="G39" s="538" t="n"/>
      <c r="H39" s="538" t="n"/>
      <c r="I39" s="533" t="n"/>
      <c r="J39" s="389" t="inlineStr">
        <is>
          <t xml:space="preserve">Fecha: </t>
        </is>
      </c>
      <c r="K39" s="548">
        <f>N18</f>
        <v/>
      </c>
      <c r="L39" s="533" t="n"/>
      <c r="M39" s="74" t="n"/>
      <c r="N39" s="74" t="n"/>
      <c r="O39" s="74" t="n"/>
      <c r="P39" s="74" t="n"/>
    </row>
    <row r="40">
      <c r="A40" s="78" t="n"/>
      <c r="B40" s="539" t="n"/>
      <c r="C40" s="541" t="n"/>
      <c r="D40" s="540" t="n"/>
      <c r="E40" s="539" t="n"/>
      <c r="F40" s="541" t="n"/>
      <c r="G40" s="541" t="n"/>
      <c r="H40" s="541" t="n"/>
      <c r="I40" s="540" t="n"/>
      <c r="J40" s="512" t="n"/>
      <c r="K40" s="539" t="n"/>
      <c r="L40" s="540"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8" t="n"/>
      <c r="D43" s="528" t="n"/>
      <c r="E43" s="528" t="n"/>
      <c r="F43" s="528" t="n"/>
      <c r="G43" s="528" t="n"/>
      <c r="H43" s="528" t="n"/>
      <c r="I43" s="528" t="n"/>
      <c r="J43" s="527"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9" t="inlineStr">
        <is>
          <t>La analista auxiliar de laboratorio Miriam Keila Osorio Andia esta autorizada para realizar el ensayo de pH en Suelo-Suelo Agricola por el método  EPA 9045D, Rev. 4, 2004. Soil and waste Ph.</t>
        </is>
      </c>
      <c r="C45" s="538" t="n"/>
      <c r="D45" s="538" t="n"/>
      <c r="E45" s="538" t="n"/>
      <c r="F45" s="538" t="n"/>
      <c r="G45" s="538" t="n"/>
      <c r="H45" s="538" t="n"/>
      <c r="I45" s="538" t="n"/>
      <c r="J45" s="538" t="n"/>
      <c r="K45" s="538" t="n"/>
      <c r="L45" s="538" t="n"/>
      <c r="M45" s="538" t="n"/>
      <c r="N45" s="538" t="n"/>
      <c r="O45" s="538" t="n"/>
      <c r="P45" s="538" t="n"/>
      <c r="Q45" s="63" t="n"/>
      <c r="R45" s="63" t="n"/>
    </row>
    <row r="46">
      <c r="A46" s="78" t="n"/>
      <c r="B46" s="535" t="n"/>
      <c r="Q46" s="63" t="n"/>
      <c r="R46" s="63" t="n"/>
    </row>
    <row r="47">
      <c r="A47" s="78" t="n"/>
      <c r="B47" s="535" t="n"/>
      <c r="Q47" s="63" t="n"/>
      <c r="R47" s="63" t="n"/>
    </row>
    <row r="48">
      <c r="A48" s="78" t="n"/>
      <c r="B48" s="535" t="n"/>
      <c r="Q48" s="63" t="n"/>
      <c r="R48" s="63" t="n"/>
    </row>
    <row r="49">
      <c r="A49" s="78" t="n"/>
      <c r="B49" s="539" t="n"/>
      <c r="C49" s="541" t="n"/>
      <c r="D49" s="541" t="n"/>
      <c r="E49" s="541" t="n"/>
      <c r="F49" s="541" t="n"/>
      <c r="G49" s="541" t="n"/>
      <c r="H49" s="541" t="n"/>
      <c r="I49" s="541" t="n"/>
      <c r="J49" s="541" t="n"/>
      <c r="K49" s="541" t="n"/>
      <c r="L49" s="541" t="n"/>
      <c r="M49" s="541" t="n"/>
      <c r="N49" s="541" t="n"/>
      <c r="O49" s="541" t="n"/>
      <c r="P49" s="541"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7" t="n"/>
      <c r="I52" s="410" t="inlineStr">
        <is>
          <t>Fecha Aprobación</t>
        </is>
      </c>
      <c r="J52" s="527" t="n"/>
      <c r="K52" s="410" t="inlineStr">
        <is>
          <t>Firma</t>
        </is>
      </c>
      <c r="L52" s="527" t="n"/>
      <c r="M52" s="74" t="n"/>
      <c r="N52" s="74" t="n"/>
      <c r="O52" s="74" t="n"/>
      <c r="P52" s="74" t="n"/>
    </row>
    <row r="53" ht="28.5" customHeight="1" s="173">
      <c r="A53" s="78" t="n"/>
      <c r="B53" s="328" t="inlineStr">
        <is>
          <t>RESPONSABLE DEL ENTRENAMIENTO:</t>
        </is>
      </c>
      <c r="C53" s="528" t="n"/>
      <c r="D53" s="528" t="n"/>
      <c r="E53" s="528" t="n"/>
      <c r="F53" s="527" t="n"/>
      <c r="G53" s="495" t="inlineStr">
        <is>
          <t>Ing. Dalmecio Miranda</t>
        </is>
      </c>
      <c r="H53" s="472" t="n"/>
      <c r="I53" s="411">
        <f>K39</f>
        <v/>
      </c>
      <c r="J53" s="527" t="n"/>
      <c r="K53" s="550" t="n"/>
      <c r="L53" s="527" t="n"/>
      <c r="M53" s="74" t="n"/>
      <c r="N53" s="74" t="n"/>
      <c r="O53" s="74" t="n"/>
      <c r="P53" s="74" t="n"/>
    </row>
    <row r="54" ht="26.25" customHeight="1" s="173">
      <c r="A54" s="78" t="n"/>
      <c r="B54" s="551" t="inlineStr">
        <is>
          <t>RESPONSABLE DEL LABORATORIO</t>
        </is>
      </c>
      <c r="C54" s="528" t="n"/>
      <c r="D54" s="528" t="n"/>
      <c r="E54" s="528" t="n"/>
      <c r="F54" s="527" t="n"/>
      <c r="G54" s="497" t="inlineStr">
        <is>
          <t>Ing. Dalmecio Miranda</t>
        </is>
      </c>
      <c r="H54" s="472" t="n"/>
      <c r="I54" s="552">
        <f>K39</f>
        <v/>
      </c>
      <c r="J54" s="527" t="n"/>
      <c r="K54" s="550" t="n"/>
      <c r="L54" s="527" t="n"/>
      <c r="M54" s="74" t="n"/>
      <c r="N54" s="74" t="n"/>
      <c r="O54" s="74" t="n"/>
      <c r="P54" s="74" t="n"/>
    </row>
    <row r="55" ht="28.5" customHeight="1" s="173">
      <c r="A55" s="78" t="n"/>
      <c r="B55" s="328" t="inlineStr">
        <is>
          <t>PERSONAL ENTRENADO</t>
        </is>
      </c>
      <c r="C55" s="528" t="n"/>
      <c r="D55" s="528" t="n"/>
      <c r="E55" s="528" t="n"/>
      <c r="F55" s="527" t="n"/>
      <c r="G55" s="524" t="inlineStr">
        <is>
          <t>Miriam Keila Osorio Andia</t>
        </is>
      </c>
      <c r="H55" s="472" t="n"/>
      <c r="I55" s="411">
        <f>K39</f>
        <v/>
      </c>
      <c r="J55" s="527" t="n"/>
      <c r="K55" s="550" t="n"/>
      <c r="L55" s="527"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7" t="n"/>
      <c r="E58" s="343" t="inlineStr">
        <is>
          <t>Código</t>
        </is>
      </c>
      <c r="F58" s="528" t="n"/>
      <c r="G58" s="527" t="n"/>
      <c r="H58" s="343" t="inlineStr">
        <is>
          <t>Matriz</t>
        </is>
      </c>
      <c r="I58" s="527" t="n"/>
      <c r="J58" s="414" t="inlineStr">
        <is>
          <t>Fecha</t>
        </is>
      </c>
      <c r="K58" s="553" t="inlineStr">
        <is>
          <t>Responsable de la
Re-evaluación</t>
        </is>
      </c>
      <c r="L58" s="527" t="n"/>
      <c r="M58" s="414" t="inlineStr">
        <is>
          <t>Resultado</t>
        </is>
      </c>
      <c r="N58" s="527" t="n"/>
      <c r="O58" s="86" t="inlineStr">
        <is>
          <t>Firma Jefe /Responsable del Area</t>
        </is>
      </c>
      <c r="P58" s="410" t="inlineStr">
        <is>
          <t>Observaciones</t>
        </is>
      </c>
    </row>
    <row r="59" ht="30.75" customHeight="1" s="173">
      <c r="A59" s="78" t="n"/>
      <c r="B59" s="84" t="n">
        <v>1</v>
      </c>
      <c r="C59" s="526" t="inlineStr">
        <is>
          <t xml:space="preserve">Supervisión </t>
        </is>
      </c>
      <c r="D59" s="527" t="n"/>
      <c r="E59" s="287" t="inlineStr">
        <is>
          <t>F-56</t>
        </is>
      </c>
      <c r="F59" s="528" t="n"/>
      <c r="G59" s="527" t="n"/>
      <c r="H59" s="287" t="inlineStr">
        <is>
          <t>Suelo</t>
        </is>
      </c>
      <c r="I59" s="527" t="n"/>
      <c r="J59" s="81" t="n">
        <v>45847</v>
      </c>
      <c r="K59" s="529" t="inlineStr">
        <is>
          <t>Ing. Karla Chavez Zea</t>
        </is>
      </c>
      <c r="L59" s="527" t="n"/>
      <c r="M59" s="288" t="inlineStr">
        <is>
          <t>Satisfactorio</t>
        </is>
      </c>
      <c r="N59" s="527" t="n"/>
      <c r="O59" s="83" t="n"/>
      <c r="P59" s="411" t="inlineStr">
        <is>
          <t>Ninguna</t>
        </is>
      </c>
    </row>
    <row r="60" ht="30.75" customHeight="1" s="173">
      <c r="A60" s="78" t="n"/>
      <c r="B60" s="84" t="n"/>
      <c r="C60" s="526" t="n"/>
      <c r="D60" s="527" t="n"/>
      <c r="E60" s="287" t="n"/>
      <c r="F60" s="528" t="n"/>
      <c r="G60" s="527" t="n"/>
      <c r="H60" s="287" t="n"/>
      <c r="I60" s="527" t="n"/>
      <c r="J60" s="81" t="n"/>
      <c r="K60" s="529" t="n"/>
      <c r="L60" s="527" t="n"/>
      <c r="M60" s="288" t="n"/>
      <c r="N60" s="527" t="n"/>
      <c r="O60" s="83" t="n"/>
      <c r="P60" s="411" t="n"/>
    </row>
    <row r="61" ht="30.75" customHeight="1" s="173">
      <c r="A61" s="78" t="n"/>
      <c r="B61" s="288" t="n"/>
      <c r="C61" s="288" t="n"/>
      <c r="D61" s="527" t="n"/>
      <c r="E61" s="288" t="n"/>
      <c r="F61" s="528" t="n"/>
      <c r="G61" s="527" t="n"/>
      <c r="H61" s="288" t="n"/>
      <c r="I61" s="527" t="n"/>
      <c r="J61" s="81" t="n"/>
      <c r="K61" s="288" t="n"/>
      <c r="L61" s="527" t="n"/>
      <c r="M61" s="288" t="n"/>
      <c r="N61" s="527"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4" t="inlineStr">
        <is>
          <t>Periodo de Entrenamiento:</t>
        </is>
      </c>
      <c r="C8" s="471" t="n"/>
      <c r="D8" s="472" t="n"/>
      <c r="E8" s="122" t="inlineStr">
        <is>
          <t>01 de Marzo de 2025 al 01 de Mayo de 2025</t>
        </is>
      </c>
      <c r="F8" s="123" t="n"/>
      <c r="G8" s="123" t="n"/>
      <c r="H8" s="502" t="inlineStr">
        <is>
          <t>Fecha de Inicio:</t>
        </is>
      </c>
      <c r="I8" s="471" t="n"/>
      <c r="J8" s="472" t="n"/>
      <c r="K8" s="530" t="n">
        <v>45717</v>
      </c>
      <c r="L8" s="471" t="n"/>
      <c r="M8" s="472" t="n"/>
      <c r="N8" s="502"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5" t="inlineStr">
        <is>
          <t>Método:</t>
        </is>
      </c>
      <c r="C10" s="471" t="n"/>
      <c r="D10" s="472" t="n"/>
      <c r="E10" s="329" t="inlineStr">
        <is>
          <t>ISO 11265:1994 First Edition/Cor1 1996. Soil Quality - Determination of the Specific Electrical Conductivity - Technical Corrigendum 1</t>
        </is>
      </c>
      <c r="F10" s="528" t="n"/>
      <c r="G10" s="528" t="n"/>
      <c r="H10" s="528" t="n"/>
      <c r="I10" s="528" t="n"/>
      <c r="J10" s="528" t="n"/>
      <c r="K10" s="528" t="n"/>
      <c r="L10" s="528" t="n"/>
      <c r="M10" s="528" t="n"/>
      <c r="N10" s="528" t="n"/>
      <c r="O10" s="528" t="n"/>
      <c r="P10" s="527"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5" t="inlineStr">
        <is>
          <t>Alcance/Matriz:</t>
        </is>
      </c>
      <c r="C12" s="471" t="n"/>
      <c r="D12" s="472" t="n"/>
      <c r="E12" s="556"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9"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7"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1"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1"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1"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1"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2"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5"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8" t="inlineStr">
        <is>
          <t>Instrumental:</t>
        </is>
      </c>
      <c r="C28" s="471" t="n"/>
      <c r="D28" s="472" t="n"/>
      <c r="E28" s="59" t="n"/>
      <c r="F28" s="472" t="n"/>
      <c r="G28" s="559"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8"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60" t="inlineStr">
        <is>
          <t>Balanza</t>
        </is>
      </c>
      <c r="F30" s="472" t="n"/>
      <c r="G30" s="561"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8"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8"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8"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8"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8"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2" t="inlineStr">
        <is>
          <t>Autorización Para la Ejecución del Ensayo:</t>
        </is>
      </c>
      <c r="C40" s="476" t="n"/>
      <c r="D40" s="469" t="n"/>
      <c r="E40" s="563" t="inlineStr">
        <is>
          <t>Autorización Total</t>
        </is>
      </c>
      <c r="F40" s="476" t="n"/>
      <c r="G40" s="476" t="n"/>
      <c r="H40" s="476" t="n"/>
      <c r="I40" s="469" t="n"/>
      <c r="J40" s="563" t="inlineStr">
        <is>
          <t xml:space="preserve">Fecha: </t>
        </is>
      </c>
      <c r="K40" s="564">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2"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5"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5" t="inlineStr">
        <is>
          <t>RESPONSABLE DEL ENTRENAMIENTO:</t>
        </is>
      </c>
      <c r="C54" s="471" t="n"/>
      <c r="D54" s="471" t="n"/>
      <c r="E54" s="471" t="n"/>
      <c r="F54" s="472" t="n"/>
      <c r="G54" s="495" t="inlineStr">
        <is>
          <t>Ing. Dalmecio Miranda</t>
        </is>
      </c>
      <c r="H54" s="472" t="n"/>
      <c r="I54" s="496">
        <f>K40</f>
        <v/>
      </c>
      <c r="J54" s="472" t="n"/>
      <c r="K54" s="498" t="n"/>
      <c r="L54" s="472" t="n"/>
      <c r="M54" s="13" t="n"/>
      <c r="N54" s="13" t="n"/>
      <c r="O54" s="13" t="n"/>
      <c r="P54" s="13" t="n"/>
      <c r="Q54" s="28" t="n"/>
      <c r="R54" s="28" t="n"/>
      <c r="S54" s="28" t="n"/>
      <c r="T54" s="28" t="n"/>
      <c r="U54" s="28" t="n"/>
      <c r="V54" s="28" t="n"/>
      <c r="W54" s="28" t="n"/>
      <c r="X54" s="28" t="n"/>
      <c r="Y54" s="28" t="n"/>
      <c r="Z54" s="28" t="n"/>
    </row>
    <row r="55" ht="26.25" customHeight="1" s="173">
      <c r="A55" s="29" t="n"/>
      <c r="B55" s="494" t="inlineStr">
        <is>
          <t>RESPONSABLE DEL LABORATORIO</t>
        </is>
      </c>
      <c r="C55" s="471" t="n"/>
      <c r="D55" s="471" t="n"/>
      <c r="E55" s="471" t="n"/>
      <c r="F55" s="472" t="n"/>
      <c r="G55" s="497" t="inlineStr">
        <is>
          <t>Ing. Dalmecio Miranda</t>
        </is>
      </c>
      <c r="H55" s="472" t="n"/>
      <c r="I55" s="496">
        <f>K40</f>
        <v/>
      </c>
      <c r="J55" s="472" t="n"/>
      <c r="K55" s="498" t="n"/>
      <c r="L55" s="472" t="n"/>
      <c r="M55" s="13" t="n"/>
      <c r="N55" s="13" t="n"/>
      <c r="O55" s="13" t="n"/>
      <c r="P55" s="13" t="n"/>
      <c r="Q55" s="28" t="n"/>
      <c r="R55" s="28" t="n"/>
      <c r="S55" s="28" t="n"/>
      <c r="T55" s="28" t="n"/>
      <c r="U55" s="28" t="n"/>
      <c r="V55" s="28" t="n"/>
      <c r="W55" s="28" t="n"/>
      <c r="X55" s="28" t="n"/>
      <c r="Y55" s="28" t="n"/>
      <c r="Z55" s="28" t="n"/>
    </row>
    <row r="56" ht="28.5" customHeight="1" s="173">
      <c r="A56" s="29" t="n"/>
      <c r="B56" s="555" t="inlineStr">
        <is>
          <t>PERSONAL ENTRENADO</t>
        </is>
      </c>
      <c r="C56" s="471" t="n"/>
      <c r="D56" s="471" t="n"/>
      <c r="E56" s="471" t="n"/>
      <c r="F56" s="472" t="n"/>
      <c r="G56" s="524" t="inlineStr">
        <is>
          <t>Miriam Keila Osorio Andia</t>
        </is>
      </c>
      <c r="H56" s="472" t="n"/>
      <c r="I56" s="496">
        <f>K40</f>
        <v/>
      </c>
      <c r="J56" s="472" t="n"/>
      <c r="K56" s="498"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6"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6" t="inlineStr">
        <is>
          <t xml:space="preserve">Supervisión </t>
        </is>
      </c>
      <c r="D60" s="527" t="n"/>
      <c r="E60" s="287" t="inlineStr">
        <is>
          <t>F-56</t>
        </is>
      </c>
      <c r="F60" s="528" t="n"/>
      <c r="G60" s="527" t="n"/>
      <c r="H60" s="287" t="inlineStr">
        <is>
          <t>Suelo</t>
        </is>
      </c>
      <c r="I60" s="527" t="n"/>
      <c r="J60" s="81" t="n">
        <v>45847</v>
      </c>
      <c r="K60" s="529" t="inlineStr">
        <is>
          <t>Ing. Karla Chavez Zea</t>
        </is>
      </c>
      <c r="L60" s="527" t="n"/>
      <c r="M60" s="288" t="inlineStr">
        <is>
          <t>Satisfactorio</t>
        </is>
      </c>
      <c r="N60" s="527" t="n"/>
      <c r="O60" s="83" t="n"/>
      <c r="P60" s="411" t="inlineStr">
        <is>
          <t>Ninguna</t>
        </is>
      </c>
      <c r="Q60" s="28" t="n"/>
      <c r="R60" s="28" t="n"/>
      <c r="S60" s="28" t="n"/>
      <c r="T60" s="28" t="n"/>
      <c r="U60" s="28" t="n"/>
      <c r="V60" s="28" t="n"/>
      <c r="W60" s="28" t="n"/>
      <c r="X60" s="28" t="n"/>
      <c r="Y60" s="28" t="n"/>
      <c r="Z60" s="28" t="n"/>
    </row>
    <row r="61" ht="30.75" customHeight="1" s="173">
      <c r="A61" s="29" t="n"/>
      <c r="B61" s="84" t="n"/>
      <c r="C61" s="526" t="n"/>
      <c r="D61" s="527" t="n"/>
      <c r="E61" s="287" t="n"/>
      <c r="F61" s="528" t="n"/>
      <c r="G61" s="527" t="n"/>
      <c r="H61" s="287" t="n"/>
      <c r="I61" s="527" t="n"/>
      <c r="J61" s="81" t="n"/>
      <c r="K61" s="529" t="n"/>
      <c r="L61" s="527" t="n"/>
      <c r="M61" s="288" t="n"/>
      <c r="N61" s="527"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15 días</t>
        </is>
      </c>
      <c r="F8" s="528" t="n"/>
      <c r="G8" s="527" t="n"/>
      <c r="H8" s="460" t="inlineStr">
        <is>
          <t>Fecha de Inicio:</t>
        </is>
      </c>
      <c r="I8" s="528" t="n"/>
      <c r="J8" s="527" t="n"/>
      <c r="K8" s="568" t="n">
        <v>45019</v>
      </c>
      <c r="L8" s="528" t="n"/>
      <c r="M8" s="527" t="n"/>
      <c r="N8" s="460" t="inlineStr">
        <is>
          <t>Fecha Termino:</t>
        </is>
      </c>
      <c r="O8" s="527"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8" t="n"/>
      <c r="D10" s="527" t="n"/>
      <c r="E10" s="329" t="inlineStr">
        <is>
          <t>Norma Oficial Mexicana NOM-021-RECNAT-2000. Segunda Sección (31 de Diciembre 2002). item 7.1.7 AS-07. Determinación de Materia Organica (AS-07 Walkley y Black).</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44321</v>
      </c>
      <c r="G19" s="95" t="inlineStr">
        <is>
          <t>N.A</t>
        </is>
      </c>
      <c r="H19" s="69" t="n"/>
      <c r="I19" s="69" t="n"/>
      <c r="J19" s="511" t="n"/>
      <c r="K19" s="511" t="n"/>
      <c r="L19" s="484" t="n"/>
      <c r="M19" s="484" t="n"/>
      <c r="N19" s="511" t="n"/>
      <c r="O19" s="511" t="n"/>
      <c r="P19" s="511" t="n"/>
    </row>
    <row r="20" ht="45" customHeight="1" s="173">
      <c r="A20" s="78" t="n"/>
      <c r="B20" s="94" t="n">
        <v>3</v>
      </c>
      <c r="C20" s="461" t="inlineStr">
        <is>
          <t>Valoracion de soluciones</t>
        </is>
      </c>
      <c r="D20" s="528" t="n"/>
      <c r="E20" s="527" t="n"/>
      <c r="F20" s="96" t="n">
        <v>44321</v>
      </c>
      <c r="G20" s="95" t="inlineStr">
        <is>
          <t>N.A</t>
        </is>
      </c>
      <c r="H20" s="69" t="n"/>
      <c r="I20" s="69" t="n"/>
      <c r="J20" s="511" t="n"/>
      <c r="K20" s="511" t="n"/>
      <c r="L20" s="484" t="n"/>
      <c r="M20" s="484" t="n"/>
      <c r="N20" s="511" t="n"/>
      <c r="O20" s="511" t="n"/>
      <c r="P20" s="511" t="n"/>
    </row>
    <row r="21" ht="45" customHeight="1" s="173">
      <c r="A21" s="78" t="n"/>
      <c r="B21" s="94" t="n">
        <v>4</v>
      </c>
      <c r="C21" s="461" t="inlineStr">
        <is>
          <t>Titulacion de muestras de suelos</t>
        </is>
      </c>
      <c r="D21" s="528" t="n"/>
      <c r="E21" s="527" t="n"/>
      <c r="F21" s="96" t="n">
        <v>44321</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Magnetico</t>
        </is>
      </c>
      <c r="F31" s="527" t="n"/>
      <c r="G31" s="287" t="inlineStr">
        <is>
          <t>EQ-73-ILL</t>
        </is>
      </c>
      <c r="H31" s="528" t="n"/>
      <c r="I31" s="527" t="n"/>
      <c r="J31" s="74" t="n"/>
      <c r="K31" s="74" t="n"/>
      <c r="L31" s="74" t="n"/>
      <c r="M31" s="74" t="n"/>
      <c r="N31" s="74" t="n"/>
      <c r="O31" s="74" t="n"/>
      <c r="P31" s="74" t="n"/>
    </row>
    <row r="32" ht="20.1" customHeight="1" s="173">
      <c r="A32" s="78" t="n"/>
      <c r="B32" s="539" t="n"/>
      <c r="C32" s="541" t="n"/>
      <c r="D32" s="540" t="n"/>
      <c r="E32" s="364" t="inlineStr">
        <is>
          <t>Campana de Extracción</t>
        </is>
      </c>
      <c r="F32" s="527" t="n"/>
      <c r="G32" s="545" t="inlineStr">
        <is>
          <t>EQ-115-ILL</t>
        </is>
      </c>
      <c r="H32" s="528" t="n"/>
      <c r="I32" s="527" t="n"/>
      <c r="J32" s="74" t="n"/>
      <c r="K32" s="74" t="n"/>
      <c r="L32" s="74" t="n"/>
      <c r="M32" s="74" t="n"/>
      <c r="N32" s="74" t="n"/>
      <c r="O32" s="74" t="n"/>
      <c r="P32" s="74" t="n"/>
    </row>
    <row r="33" ht="20.1" customHeight="1" s="173">
      <c r="A33" s="78" t="n"/>
      <c r="B33" s="363" t="inlineStr">
        <is>
          <t>Material de Vidrio:</t>
        </is>
      </c>
      <c r="C33" s="538" t="n"/>
      <c r="D33" s="533" t="n"/>
      <c r="E33" s="364" t="inlineStr">
        <is>
          <t>Buretas</t>
        </is>
      </c>
      <c r="F33" s="527" t="n"/>
      <c r="G33" s="546" t="inlineStr">
        <is>
          <t>EQ-088-ILL</t>
        </is>
      </c>
      <c r="H33" s="528" t="n"/>
      <c r="I33" s="527" t="n"/>
      <c r="J33" s="74" t="n"/>
      <c r="K33" s="74" t="n"/>
      <c r="L33" s="74" t="n"/>
      <c r="M33" s="74" t="n"/>
      <c r="N33" s="74" t="n"/>
      <c r="O33" s="74" t="n"/>
      <c r="P33" s="74" t="n"/>
    </row>
    <row r="34" ht="20.1" customHeight="1" s="173">
      <c r="A34" s="78" t="n"/>
      <c r="B34" s="535" t="n"/>
      <c r="D34" s="536" t="n"/>
      <c r="E34" s="364" t="inlineStr">
        <is>
          <t>Pipetas</t>
        </is>
      </c>
      <c r="F34" s="527" t="n"/>
      <c r="G34" s="546" t="inlineStr">
        <is>
          <t>MV-081-ILL</t>
        </is>
      </c>
      <c r="H34" s="528" t="n"/>
      <c r="I34" s="527" t="n"/>
      <c r="J34" s="74" t="n"/>
      <c r="K34" s="74" t="n"/>
      <c r="L34" s="74" t="n"/>
      <c r="M34" s="74" t="n"/>
      <c r="N34" s="74" t="n"/>
      <c r="O34" s="74" t="n"/>
      <c r="P34" s="74" t="n"/>
    </row>
    <row r="35" ht="20.1" customHeight="1" s="173">
      <c r="A35" s="78" t="n"/>
      <c r="B35" s="535" t="n"/>
      <c r="D35" s="536" t="n"/>
      <c r="E35" s="364" t="inlineStr">
        <is>
          <t>Erlenmayer</t>
        </is>
      </c>
      <c r="F35" s="527" t="n"/>
      <c r="G35" s="550" t="inlineStr">
        <is>
          <t>MV-133-ILL</t>
        </is>
      </c>
      <c r="H35" s="528" t="n"/>
      <c r="I35" s="527" t="n"/>
      <c r="J35" s="74" t="n"/>
      <c r="K35" s="74" t="n"/>
      <c r="L35" s="74" t="n"/>
      <c r="M35" s="74" t="n"/>
      <c r="N35" s="74" t="n"/>
      <c r="O35" s="74" t="n"/>
      <c r="P35" s="74" t="n"/>
    </row>
    <row r="36" ht="20.1" customHeight="1" s="173">
      <c r="A36" s="78" t="n"/>
      <c r="B36" s="539" t="n"/>
      <c r="C36" s="541" t="n"/>
      <c r="D36" s="540" t="n"/>
      <c r="E36" s="364" t="inlineStr">
        <is>
          <t>Micropipetas</t>
        </is>
      </c>
      <c r="F36" s="527" t="n"/>
      <c r="G36" s="550" t="inlineStr">
        <is>
          <t>EQ-096-ILL</t>
        </is>
      </c>
      <c r="H36" s="528" t="n"/>
      <c r="I36" s="527"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8" t="n"/>
      <c r="D39" s="533" t="n"/>
      <c r="E39" s="389" t="inlineStr">
        <is>
          <t>Autorización Total</t>
        </is>
      </c>
      <c r="F39" s="538" t="n"/>
      <c r="G39" s="538" t="n"/>
      <c r="H39" s="538" t="n"/>
      <c r="I39" s="533" t="n"/>
      <c r="J39" s="389" t="inlineStr">
        <is>
          <t xml:space="preserve">Fecha: </t>
        </is>
      </c>
      <c r="K39" s="548">
        <f>N18</f>
        <v/>
      </c>
      <c r="L39" s="533" t="n"/>
      <c r="M39" s="74" t="n"/>
      <c r="N39" s="74" t="n"/>
      <c r="O39" s="74" t="n"/>
      <c r="P39" s="74" t="n"/>
    </row>
    <row r="40">
      <c r="A40" s="78" t="n"/>
      <c r="B40" s="539" t="n"/>
      <c r="C40" s="541" t="n"/>
      <c r="D40" s="540" t="n"/>
      <c r="E40" s="539" t="n"/>
      <c r="F40" s="541" t="n"/>
      <c r="G40" s="541" t="n"/>
      <c r="H40" s="541" t="n"/>
      <c r="I40" s="540" t="n"/>
      <c r="J40" s="512" t="n"/>
      <c r="K40" s="539" t="n"/>
      <c r="L40" s="540"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8" t="n"/>
      <c r="D43" s="528" t="n"/>
      <c r="E43" s="528" t="n"/>
      <c r="F43" s="528" t="n"/>
      <c r="G43" s="528" t="n"/>
      <c r="H43" s="528" t="n"/>
      <c r="I43" s="528" t="n"/>
      <c r="J43" s="527"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9"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8" t="n"/>
      <c r="D45" s="538" t="n"/>
      <c r="E45" s="538" t="n"/>
      <c r="F45" s="538" t="n"/>
      <c r="G45" s="538" t="n"/>
      <c r="H45" s="538" t="n"/>
      <c r="I45" s="538" t="n"/>
      <c r="J45" s="538" t="n"/>
      <c r="K45" s="538" t="n"/>
      <c r="L45" s="538" t="n"/>
      <c r="M45" s="538" t="n"/>
      <c r="N45" s="538" t="n"/>
      <c r="O45" s="538" t="n"/>
      <c r="P45" s="538" t="n"/>
      <c r="Q45" s="63" t="n"/>
      <c r="R45" s="63" t="n"/>
    </row>
    <row r="46">
      <c r="A46" s="78" t="n"/>
      <c r="B46" s="535" t="n"/>
      <c r="Q46" s="63" t="n"/>
      <c r="R46" s="63" t="n"/>
    </row>
    <row r="47">
      <c r="A47" s="78" t="n"/>
      <c r="B47" s="535" t="n"/>
      <c r="Q47" s="63" t="n"/>
      <c r="R47" s="63" t="n"/>
    </row>
    <row r="48">
      <c r="A48" s="78" t="n"/>
      <c r="B48" s="535" t="n"/>
      <c r="Q48" s="63" t="n"/>
      <c r="R48" s="63" t="n"/>
    </row>
    <row r="49">
      <c r="A49" s="78" t="n"/>
      <c r="B49" s="539" t="n"/>
      <c r="C49" s="541" t="n"/>
      <c r="D49" s="541" t="n"/>
      <c r="E49" s="541" t="n"/>
      <c r="F49" s="541" t="n"/>
      <c r="G49" s="541" t="n"/>
      <c r="H49" s="541" t="n"/>
      <c r="I49" s="541" t="n"/>
      <c r="J49" s="541" t="n"/>
      <c r="K49" s="541" t="n"/>
      <c r="L49" s="541" t="n"/>
      <c r="M49" s="541" t="n"/>
      <c r="N49" s="541" t="n"/>
      <c r="O49" s="541" t="n"/>
      <c r="P49" s="541"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7" t="n"/>
      <c r="I52" s="410" t="inlineStr">
        <is>
          <t>Fecha Aprobación</t>
        </is>
      </c>
      <c r="J52" s="527" t="n"/>
      <c r="K52" s="410" t="inlineStr">
        <is>
          <t>Firma</t>
        </is>
      </c>
      <c r="L52" s="527" t="n"/>
      <c r="M52" s="74" t="n"/>
      <c r="N52" s="74" t="n"/>
      <c r="O52" s="74" t="n"/>
      <c r="P52" s="74" t="n"/>
    </row>
    <row r="53" ht="28.5" customHeight="1" s="173">
      <c r="A53" s="78" t="n"/>
      <c r="B53" s="328" t="inlineStr">
        <is>
          <t>RESPONSABLE DEL ENTRENAMIENTO:</t>
        </is>
      </c>
      <c r="C53" s="528" t="n"/>
      <c r="D53" s="528" t="n"/>
      <c r="E53" s="528" t="n"/>
      <c r="F53" s="527" t="n"/>
      <c r="G53" s="495" t="inlineStr">
        <is>
          <t>Ing. Dalmecio Miranda</t>
        </is>
      </c>
      <c r="H53" s="472" t="n"/>
      <c r="I53" s="411">
        <f>K39</f>
        <v/>
      </c>
      <c r="J53" s="527" t="n"/>
      <c r="K53" s="550" t="n"/>
      <c r="L53" s="527" t="n"/>
      <c r="M53" s="74" t="n"/>
      <c r="N53" s="74" t="n"/>
      <c r="O53" s="74" t="n"/>
      <c r="P53" s="74" t="n"/>
    </row>
    <row r="54" ht="26.25" customHeight="1" s="173">
      <c r="A54" s="78" t="n"/>
      <c r="B54" s="551" t="inlineStr">
        <is>
          <t>RESPONSABLE DEL LABORATORIO</t>
        </is>
      </c>
      <c r="C54" s="528" t="n"/>
      <c r="D54" s="528" t="n"/>
      <c r="E54" s="528" t="n"/>
      <c r="F54" s="527" t="n"/>
      <c r="G54" s="497" t="inlineStr">
        <is>
          <t>Ing. Dalmecio Miranda</t>
        </is>
      </c>
      <c r="H54" s="472" t="n"/>
      <c r="I54" s="411">
        <f>K39</f>
        <v/>
      </c>
      <c r="J54" s="527" t="n"/>
      <c r="K54" s="550" t="n"/>
      <c r="L54" s="527" t="n"/>
      <c r="M54" s="74" t="n"/>
      <c r="N54" s="74" t="n"/>
      <c r="O54" s="74" t="n"/>
      <c r="P54" s="74" t="n"/>
    </row>
    <row r="55" ht="28.5" customHeight="1" s="173">
      <c r="A55" s="78" t="n"/>
      <c r="B55" s="328" t="inlineStr">
        <is>
          <t>PERSONAL ENTRENADO</t>
        </is>
      </c>
      <c r="C55" s="528" t="n"/>
      <c r="D55" s="528" t="n"/>
      <c r="E55" s="528" t="n"/>
      <c r="F55" s="527" t="n"/>
      <c r="G55" s="529" t="n"/>
      <c r="H55" s="527" t="n"/>
      <c r="I55" s="411">
        <f>K39</f>
        <v/>
      </c>
      <c r="J55" s="527" t="n"/>
      <c r="K55" s="550" t="n"/>
      <c r="L55" s="527"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7" t="n"/>
      <c r="E58" s="343" t="inlineStr">
        <is>
          <t>Código</t>
        </is>
      </c>
      <c r="F58" s="528" t="n"/>
      <c r="G58" s="527" t="n"/>
      <c r="H58" s="343" t="inlineStr">
        <is>
          <t>Matriz</t>
        </is>
      </c>
      <c r="I58" s="527" t="n"/>
      <c r="J58" s="414" t="inlineStr">
        <is>
          <t>Fecha</t>
        </is>
      </c>
      <c r="K58" s="553" t="inlineStr">
        <is>
          <t>Responsable de la
Re-evaluación</t>
        </is>
      </c>
      <c r="L58" s="527" t="n"/>
      <c r="M58" s="414" t="inlineStr">
        <is>
          <t>Resultado</t>
        </is>
      </c>
      <c r="N58" s="527" t="n"/>
      <c r="O58" s="86" t="inlineStr">
        <is>
          <t>Firma Jefe /Responsable del Area</t>
        </is>
      </c>
      <c r="P58" s="410" t="inlineStr">
        <is>
          <t>Observaciones</t>
        </is>
      </c>
    </row>
    <row r="59" ht="30.75" customHeight="1" s="173">
      <c r="A59" s="78" t="n"/>
      <c r="B59" s="288" t="n">
        <v>1</v>
      </c>
      <c r="C59" s="526" t="inlineStr">
        <is>
          <t>Asistencia</t>
        </is>
      </c>
      <c r="D59" s="527" t="n"/>
      <c r="E59" s="287" t="inlineStr">
        <is>
          <t>F-02</t>
        </is>
      </c>
      <c r="F59" s="528" t="n"/>
      <c r="G59" s="527" t="n"/>
      <c r="H59" s="287" t="inlineStr">
        <is>
          <t>Suelo</t>
        </is>
      </c>
      <c r="I59" s="527" t="n"/>
      <c r="J59" s="81" t="n">
        <v>45696</v>
      </c>
      <c r="K59" s="529" t="inlineStr">
        <is>
          <t>Ing. Dalmecio Miranda</t>
        </is>
      </c>
      <c r="L59" s="527" t="n"/>
      <c r="M59" s="288" t="inlineStr">
        <is>
          <t>Satisfactorio</t>
        </is>
      </c>
      <c r="N59" s="527" t="n"/>
      <c r="O59" s="80" t="n"/>
      <c r="P59" s="411" t="inlineStr">
        <is>
          <t>Ninguna</t>
        </is>
      </c>
    </row>
    <row r="60" ht="30.75" customHeight="1" s="173">
      <c r="A60" s="78" t="n"/>
      <c r="B60" s="84" t="n">
        <v>2</v>
      </c>
      <c r="C60" s="526" t="inlineStr">
        <is>
          <t xml:space="preserve">Supervisión </t>
        </is>
      </c>
      <c r="D60" s="527" t="n"/>
      <c r="E60" s="287" t="inlineStr">
        <is>
          <t>F-56</t>
        </is>
      </c>
      <c r="F60" s="528" t="n"/>
      <c r="G60" s="527" t="n"/>
      <c r="H60" s="287" t="inlineStr">
        <is>
          <t>Suelo</t>
        </is>
      </c>
      <c r="I60" s="527" t="n"/>
      <c r="J60" s="81" t="n">
        <v>45696</v>
      </c>
      <c r="K60" s="529" t="inlineStr">
        <is>
          <t>Ing. Dalmecio Miranda</t>
        </is>
      </c>
      <c r="L60" s="527" t="n"/>
      <c r="M60" s="288" t="inlineStr">
        <is>
          <t>Satisfactorio</t>
        </is>
      </c>
      <c r="N60" s="527" t="n"/>
      <c r="O60" s="83" t="n"/>
      <c r="P60" s="411" t="inlineStr">
        <is>
          <t>Ninguna</t>
        </is>
      </c>
    </row>
    <row r="61" ht="30.75" customHeight="1" s="173">
      <c r="A61" s="78" t="n"/>
      <c r="B61" s="288" t="n"/>
      <c r="C61" s="288" t="n"/>
      <c r="D61" s="527" t="n"/>
      <c r="E61" s="288" t="n"/>
      <c r="F61" s="528" t="n"/>
      <c r="G61" s="527" t="n"/>
      <c r="H61" s="288" t="n"/>
      <c r="I61" s="527" t="n"/>
      <c r="J61" s="81" t="n"/>
      <c r="K61" s="288" t="n"/>
      <c r="L61" s="527" t="n"/>
      <c r="M61" s="288" t="n"/>
      <c r="N61" s="527"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15 días</t>
        </is>
      </c>
      <c r="F8" s="528" t="n"/>
      <c r="G8" s="527" t="n"/>
      <c r="H8" s="460" t="inlineStr">
        <is>
          <t>Fecha de Inicio:</t>
        </is>
      </c>
      <c r="I8" s="528" t="n"/>
      <c r="J8" s="527" t="n"/>
      <c r="K8" s="568" t="n">
        <v>45019</v>
      </c>
      <c r="L8" s="528" t="n"/>
      <c r="M8" s="527" t="n"/>
      <c r="N8" s="460" t="inlineStr">
        <is>
          <t>Fecha Termino:</t>
        </is>
      </c>
      <c r="O8" s="527"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8" t="n"/>
      <c r="D10" s="527" t="n"/>
      <c r="E10" s="329" t="inlineStr">
        <is>
          <t>Norma Oficial Mexicana NOM-021-RECNAT-2000. Segunda Sección (31 de Diciembre 2002). Ítem 7.1.9 AS-09.2000. Determinación de la Textura del suelo por el procedimiento de Bouyoucos.</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45022</v>
      </c>
      <c r="G19" s="95" t="inlineStr">
        <is>
          <t>N.A</t>
        </is>
      </c>
      <c r="H19" s="69" t="n"/>
      <c r="I19" s="69" t="n"/>
      <c r="J19" s="511" t="n"/>
      <c r="K19" s="511" t="n"/>
      <c r="L19" s="484" t="n"/>
      <c r="M19" s="484" t="n"/>
      <c r="N19" s="511" t="n"/>
      <c r="O19" s="511" t="n"/>
      <c r="P19" s="511" t="n"/>
    </row>
    <row r="20" ht="45" customHeight="1" s="173">
      <c r="A20" s="78" t="n"/>
      <c r="B20" s="94" t="n">
        <v>3</v>
      </c>
      <c r="C20" s="461" t="inlineStr">
        <is>
          <t>Calibración y/o verificación; calculos</t>
        </is>
      </c>
      <c r="D20" s="528" t="n"/>
      <c r="E20" s="527" t="n"/>
      <c r="F20" s="96" t="n">
        <v>45022</v>
      </c>
      <c r="G20" s="95" t="inlineStr">
        <is>
          <t>N.A</t>
        </is>
      </c>
      <c r="H20" s="69" t="n"/>
      <c r="I20" s="69" t="n"/>
      <c r="J20" s="511" t="n"/>
      <c r="K20" s="511" t="n"/>
      <c r="L20" s="484" t="n"/>
      <c r="M20" s="484" t="n"/>
      <c r="N20" s="511" t="n"/>
      <c r="O20" s="511" t="n"/>
      <c r="P20" s="511" t="n"/>
    </row>
    <row r="21" ht="45" customHeight="1" s="173">
      <c r="A21" s="78" t="n"/>
      <c r="B21" s="94" t="n">
        <v>4</v>
      </c>
      <c r="C21" s="461" t="inlineStr">
        <is>
          <t>Lectura de muestras de suelos y calculos</t>
        </is>
      </c>
      <c r="D21" s="528" t="n"/>
      <c r="E21" s="527" t="n"/>
      <c r="F21" s="96" t="n">
        <v>45022</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de vasos</t>
        </is>
      </c>
      <c r="F31" s="527" t="n"/>
      <c r="G31" s="287" t="inlineStr">
        <is>
          <t>EQ-076-ILL</t>
        </is>
      </c>
      <c r="H31" s="528" t="n"/>
      <c r="I31" s="527" t="n"/>
      <c r="J31" s="74" t="n"/>
      <c r="K31" s="74" t="n"/>
      <c r="L31" s="74" t="n"/>
      <c r="M31" s="74" t="n"/>
      <c r="N31" s="74" t="n"/>
      <c r="O31" s="74" t="n"/>
      <c r="P31" s="74" t="n"/>
    </row>
    <row r="32" ht="20.1" customHeight="1" s="173">
      <c r="A32" s="78" t="n"/>
      <c r="B32" s="535" t="n"/>
      <c r="D32" s="536" t="n"/>
      <c r="E32" s="364" t="inlineStr">
        <is>
          <t>Termometro</t>
        </is>
      </c>
      <c r="F32" s="527" t="n"/>
      <c r="G32" s="287" t="inlineStr">
        <is>
          <t>EQ-086-ILL</t>
        </is>
      </c>
      <c r="H32" s="528" t="n"/>
      <c r="I32" s="527" t="n"/>
      <c r="J32" s="74" t="n"/>
      <c r="K32" s="74" t="n"/>
      <c r="L32" s="74" t="n"/>
      <c r="M32" s="74" t="n"/>
      <c r="N32" s="74" t="n"/>
      <c r="O32" s="74" t="n"/>
      <c r="P32" s="74" t="n"/>
    </row>
    <row r="33" ht="20.1" customHeight="1" s="173">
      <c r="A33" s="78" t="n"/>
      <c r="B33" s="539" t="n"/>
      <c r="C33" s="541" t="n"/>
      <c r="D33" s="540" t="n"/>
      <c r="E33" s="364" t="inlineStr">
        <is>
          <t>Densimetro</t>
        </is>
      </c>
      <c r="F33" s="527" t="n"/>
      <c r="G33" s="545" t="inlineStr">
        <is>
          <t>MV-087-ILL</t>
        </is>
      </c>
      <c r="H33" s="528" t="n"/>
      <c r="I33" s="527" t="n"/>
      <c r="J33" s="74" t="n"/>
      <c r="K33" s="74" t="n"/>
      <c r="L33" s="74" t="n"/>
      <c r="M33" s="74" t="n"/>
      <c r="N33" s="74" t="n"/>
      <c r="O33" s="74" t="n"/>
      <c r="P33" s="74" t="n"/>
    </row>
    <row r="34" ht="20.1" customHeight="1" s="173">
      <c r="A34" s="78" t="n"/>
      <c r="B34" s="363" t="inlineStr">
        <is>
          <t>Material de Vidrio:</t>
        </is>
      </c>
      <c r="C34" s="538" t="n"/>
      <c r="D34" s="533" t="n"/>
      <c r="E34" s="364" t="inlineStr">
        <is>
          <t>Probeta</t>
        </is>
      </c>
      <c r="F34" s="527" t="n"/>
      <c r="G34" s="546" t="inlineStr">
        <is>
          <t>MV-076-ILL</t>
        </is>
      </c>
      <c r="H34" s="528" t="n"/>
      <c r="I34" s="527" t="n"/>
      <c r="J34" s="74" t="n"/>
      <c r="K34" s="74" t="n"/>
      <c r="L34" s="74" t="n"/>
      <c r="M34" s="74" t="n"/>
      <c r="N34" s="74" t="n"/>
      <c r="O34" s="74" t="n"/>
      <c r="P34" s="74" t="n"/>
    </row>
    <row r="35" ht="20.1" customHeight="1" s="173">
      <c r="A35" s="78" t="n"/>
      <c r="B35" s="535" t="n"/>
      <c r="D35" s="536" t="n"/>
      <c r="E35" s="364" t="inlineStr">
        <is>
          <t>Pipetas</t>
        </is>
      </c>
      <c r="F35" s="527" t="n"/>
      <c r="G35" s="546" t="inlineStr">
        <is>
          <t>MV-080-ILL</t>
        </is>
      </c>
      <c r="H35" s="528" t="n"/>
      <c r="I35" s="527" t="n"/>
      <c r="J35" s="74" t="n"/>
      <c r="K35" s="74" t="n"/>
      <c r="L35" s="74" t="n"/>
      <c r="M35" s="74" t="n"/>
      <c r="N35" s="74" t="n"/>
      <c r="O35" s="74" t="n"/>
      <c r="P35" s="74" t="n"/>
    </row>
    <row r="36" ht="20.1" customHeight="1" s="173">
      <c r="A36" s="78" t="n"/>
      <c r="B36" s="535" t="n"/>
      <c r="D36" s="536" t="n"/>
      <c r="E36" s="364" t="inlineStr">
        <is>
          <t>Vasos de Precipitado</t>
        </is>
      </c>
      <c r="F36" s="527" t="n"/>
      <c r="G36" s="550" t="inlineStr">
        <is>
          <t>MV-071-ILL</t>
        </is>
      </c>
      <c r="H36" s="528" t="n"/>
      <c r="I36" s="527" t="n"/>
      <c r="J36" s="74" t="n"/>
      <c r="K36" s="74" t="n"/>
      <c r="L36" s="74" t="n"/>
      <c r="M36" s="74" t="n"/>
      <c r="N36" s="74" t="n"/>
      <c r="O36" s="74" t="n"/>
      <c r="P36" s="74" t="n"/>
    </row>
    <row r="37" ht="20.1" customHeight="1" s="173">
      <c r="A37" s="78" t="n"/>
      <c r="B37" s="539" t="n"/>
      <c r="C37" s="541" t="n"/>
      <c r="D37" s="540" t="n"/>
      <c r="E37" s="364" t="n"/>
      <c r="F37" s="527" t="n"/>
      <c r="G37" s="550" t="n"/>
      <c r="H37" s="528" t="n"/>
      <c r="I37" s="527"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8" t="n"/>
      <c r="D40" s="533" t="n"/>
      <c r="E40" s="389" t="inlineStr">
        <is>
          <t>Autorización Total</t>
        </is>
      </c>
      <c r="F40" s="538" t="n"/>
      <c r="G40" s="538" t="n"/>
      <c r="H40" s="538" t="n"/>
      <c r="I40" s="533" t="n"/>
      <c r="J40" s="389" t="inlineStr">
        <is>
          <t xml:space="preserve">Fecha: </t>
        </is>
      </c>
      <c r="K40" s="548">
        <f>N18</f>
        <v/>
      </c>
      <c r="L40" s="533" t="n"/>
      <c r="M40" s="74" t="n"/>
      <c r="N40" s="74" t="n"/>
      <c r="O40" s="74" t="n"/>
      <c r="P40" s="74" t="n"/>
    </row>
    <row r="41">
      <c r="A41" s="78" t="n"/>
      <c r="B41" s="539" t="n"/>
      <c r="C41" s="541" t="n"/>
      <c r="D41" s="540" t="n"/>
      <c r="E41" s="539" t="n"/>
      <c r="F41" s="541" t="n"/>
      <c r="G41" s="541" t="n"/>
      <c r="H41" s="541" t="n"/>
      <c r="I41" s="540" t="n"/>
      <c r="J41" s="512" t="n"/>
      <c r="K41" s="539" t="n"/>
      <c r="L41" s="540"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8" t="n"/>
      <c r="D44" s="528" t="n"/>
      <c r="E44" s="528" t="n"/>
      <c r="F44" s="528" t="n"/>
      <c r="G44" s="528" t="n"/>
      <c r="H44" s="528" t="n"/>
      <c r="I44" s="528" t="n"/>
      <c r="J44" s="527"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9"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8" t="n"/>
      <c r="D46" s="538" t="n"/>
      <c r="E46" s="538" t="n"/>
      <c r="F46" s="538" t="n"/>
      <c r="G46" s="538" t="n"/>
      <c r="H46" s="538" t="n"/>
      <c r="I46" s="538" t="n"/>
      <c r="J46" s="538" t="n"/>
      <c r="K46" s="538" t="n"/>
      <c r="L46" s="538" t="n"/>
      <c r="M46" s="538" t="n"/>
      <c r="N46" s="538" t="n"/>
      <c r="O46" s="538" t="n"/>
      <c r="P46" s="538" t="n"/>
      <c r="Q46" s="63" t="n"/>
      <c r="R46" s="63" t="n"/>
    </row>
    <row r="47">
      <c r="A47" s="78" t="n"/>
      <c r="B47" s="535" t="n"/>
      <c r="Q47" s="63" t="n"/>
      <c r="R47" s="63" t="n"/>
    </row>
    <row r="48">
      <c r="A48" s="78" t="n"/>
      <c r="B48" s="535" t="n"/>
      <c r="Q48" s="63" t="n"/>
      <c r="R48" s="63" t="n"/>
    </row>
    <row r="49">
      <c r="A49" s="78" t="n"/>
      <c r="B49" s="535" t="n"/>
      <c r="Q49" s="63" t="n"/>
      <c r="R49" s="63" t="n"/>
    </row>
    <row r="50">
      <c r="A50" s="78" t="n"/>
      <c r="B50" s="539" t="n"/>
      <c r="C50" s="541" t="n"/>
      <c r="D50" s="541" t="n"/>
      <c r="E50" s="541" t="n"/>
      <c r="F50" s="541" t="n"/>
      <c r="G50" s="541" t="n"/>
      <c r="H50" s="541" t="n"/>
      <c r="I50" s="541" t="n"/>
      <c r="J50" s="541" t="n"/>
      <c r="K50" s="541" t="n"/>
      <c r="L50" s="541" t="n"/>
      <c r="M50" s="541" t="n"/>
      <c r="N50" s="541" t="n"/>
      <c r="O50" s="541" t="n"/>
      <c r="P50" s="541"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7" t="n"/>
      <c r="I53" s="410" t="inlineStr">
        <is>
          <t>Fecha Aprobación</t>
        </is>
      </c>
      <c r="J53" s="527" t="n"/>
      <c r="K53" s="410" t="inlineStr">
        <is>
          <t>Firma</t>
        </is>
      </c>
      <c r="L53" s="527" t="n"/>
      <c r="M53" s="74" t="n"/>
      <c r="N53" s="74" t="n"/>
      <c r="O53" s="74" t="n"/>
      <c r="P53" s="74" t="n"/>
    </row>
    <row r="54" ht="28.5" customHeight="1" s="173">
      <c r="A54" s="78" t="n"/>
      <c r="B54" s="328" t="inlineStr">
        <is>
          <t>RESPONSABLE DEL ENTRENAMIENTO:</t>
        </is>
      </c>
      <c r="C54" s="528" t="n"/>
      <c r="D54" s="528" t="n"/>
      <c r="E54" s="528" t="n"/>
      <c r="F54" s="527" t="n"/>
      <c r="G54" s="495" t="inlineStr">
        <is>
          <t>Ing. Dalmecio Miranda</t>
        </is>
      </c>
      <c r="H54" s="472" t="n"/>
      <c r="I54" s="411">
        <f>K40</f>
        <v/>
      </c>
      <c r="J54" s="527" t="n"/>
      <c r="K54" s="550" t="n"/>
      <c r="L54" s="527" t="n"/>
      <c r="M54" s="74" t="n"/>
      <c r="N54" s="74" t="n"/>
      <c r="O54" s="74" t="n"/>
      <c r="P54" s="74" t="n"/>
    </row>
    <row r="55" ht="26.25" customHeight="1" s="173">
      <c r="A55" s="78" t="n"/>
      <c r="B55" s="551" t="inlineStr">
        <is>
          <t>RESPONSABLE DEL LABORATORIO</t>
        </is>
      </c>
      <c r="C55" s="528" t="n"/>
      <c r="D55" s="528" t="n"/>
      <c r="E55" s="528" t="n"/>
      <c r="F55" s="527" t="n"/>
      <c r="G55" s="497" t="inlineStr">
        <is>
          <t>Ing. Dalmecio Miranda</t>
        </is>
      </c>
      <c r="H55" s="472" t="n"/>
      <c r="I55" s="411">
        <f>K40</f>
        <v/>
      </c>
      <c r="J55" s="527" t="n"/>
      <c r="K55" s="550" t="n"/>
      <c r="L55" s="527" t="n"/>
      <c r="M55" s="74" t="n"/>
      <c r="N55" s="74" t="n"/>
      <c r="O55" s="74" t="n"/>
      <c r="P55" s="74" t="n"/>
    </row>
    <row r="56" ht="28.5" customHeight="1" s="173">
      <c r="A56" s="78" t="n"/>
      <c r="B56" s="328" t="inlineStr">
        <is>
          <t>PERSONAL ENTRENADO</t>
        </is>
      </c>
      <c r="C56" s="528" t="n"/>
      <c r="D56" s="528" t="n"/>
      <c r="E56" s="528" t="n"/>
      <c r="F56" s="527" t="n"/>
      <c r="G56" s="529" t="n"/>
      <c r="H56" s="527" t="n"/>
      <c r="I56" s="411">
        <f>K40</f>
        <v/>
      </c>
      <c r="J56" s="527" t="n"/>
      <c r="K56" s="550" t="n"/>
      <c r="L56" s="527"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7" t="n"/>
      <c r="E59" s="343" t="inlineStr">
        <is>
          <t>Código</t>
        </is>
      </c>
      <c r="F59" s="528" t="n"/>
      <c r="G59" s="527" t="n"/>
      <c r="H59" s="343" t="inlineStr">
        <is>
          <t>Matriz</t>
        </is>
      </c>
      <c r="I59" s="527" t="n"/>
      <c r="J59" s="414" t="inlineStr">
        <is>
          <t>Fecha</t>
        </is>
      </c>
      <c r="K59" s="553" t="inlineStr">
        <is>
          <t>Responsable de la
Re-evaluación</t>
        </is>
      </c>
      <c r="L59" s="527" t="n"/>
      <c r="M59" s="414" t="inlineStr">
        <is>
          <t>Resultado</t>
        </is>
      </c>
      <c r="N59" s="527" t="n"/>
      <c r="O59" s="86" t="inlineStr">
        <is>
          <t>Firma Jefe /Responsable del Area</t>
        </is>
      </c>
      <c r="P59" s="410" t="inlineStr">
        <is>
          <t>Observaciones</t>
        </is>
      </c>
    </row>
    <row r="60" ht="30.75" customHeight="1" s="173">
      <c r="A60" s="78" t="n"/>
      <c r="B60" s="288" t="n">
        <v>1</v>
      </c>
      <c r="C60" s="526" t="inlineStr">
        <is>
          <t>Asistencia</t>
        </is>
      </c>
      <c r="D60" s="527" t="n"/>
      <c r="E60" s="287" t="inlineStr">
        <is>
          <t>F-02</t>
        </is>
      </c>
      <c r="F60" s="528" t="n"/>
      <c r="G60" s="527" t="n"/>
      <c r="H60" s="287" t="inlineStr">
        <is>
          <t>Suelo</t>
        </is>
      </c>
      <c r="I60" s="527" t="n"/>
      <c r="J60" s="81" t="n">
        <v>45696</v>
      </c>
      <c r="K60" s="529" t="inlineStr">
        <is>
          <t>Ing. Dalmecio Miranda</t>
        </is>
      </c>
      <c r="L60" s="527" t="n"/>
      <c r="M60" s="288" t="inlineStr">
        <is>
          <t>Satisfactorio</t>
        </is>
      </c>
      <c r="N60" s="527" t="n"/>
      <c r="O60" s="80" t="n"/>
      <c r="P60" s="411" t="inlineStr">
        <is>
          <t>Ninguna</t>
        </is>
      </c>
    </row>
    <row r="61" ht="30.75" customHeight="1" s="173">
      <c r="A61" s="78" t="n"/>
      <c r="B61" s="84" t="n">
        <v>2</v>
      </c>
      <c r="C61" s="526" t="inlineStr">
        <is>
          <t xml:space="preserve">Supervisión </t>
        </is>
      </c>
      <c r="D61" s="527" t="n"/>
      <c r="E61" s="287" t="inlineStr">
        <is>
          <t>F-56</t>
        </is>
      </c>
      <c r="F61" s="528" t="n"/>
      <c r="G61" s="527" t="n"/>
      <c r="H61" s="287" t="inlineStr">
        <is>
          <t>Suelo</t>
        </is>
      </c>
      <c r="I61" s="527" t="n"/>
      <c r="J61" s="81" t="n">
        <v>45696</v>
      </c>
      <c r="K61" s="529" t="inlineStr">
        <is>
          <t>Ing. Dalmecio Miranda</t>
        </is>
      </c>
      <c r="L61" s="527" t="n"/>
      <c r="M61" s="288" t="inlineStr">
        <is>
          <t>Satisfactorio</t>
        </is>
      </c>
      <c r="N61" s="527" t="n"/>
      <c r="O61" s="83" t="n"/>
      <c r="P61" s="411" t="inlineStr">
        <is>
          <t>Ninguna</t>
        </is>
      </c>
    </row>
    <row r="62" ht="30.75" customHeight="1" s="173">
      <c r="A62" s="78" t="n"/>
      <c r="B62" s="288" t="n"/>
      <c r="C62" s="288" t="n"/>
      <c r="D62" s="527" t="n"/>
      <c r="E62" s="288" t="n"/>
      <c r="F62" s="528" t="n"/>
      <c r="G62" s="527" t="n"/>
      <c r="H62" s="288" t="n"/>
      <c r="I62" s="527" t="n"/>
      <c r="J62" s="81" t="n"/>
      <c r="K62" s="288" t="n"/>
      <c r="L62" s="527" t="n"/>
      <c r="M62" s="288" t="n"/>
      <c r="N62" s="527"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24 de Mayo de 2024 a 26 de Junio de 2024</t>
        </is>
      </c>
      <c r="F8" s="528" t="n"/>
      <c r="G8" s="527" t="n"/>
      <c r="H8" s="460" t="inlineStr">
        <is>
          <t>Fecha de Inicio:</t>
        </is>
      </c>
      <c r="I8" s="528" t="n"/>
      <c r="J8" s="527" t="n"/>
      <c r="K8" s="568" t="n">
        <v>45436</v>
      </c>
      <c r="L8" s="528" t="n"/>
      <c r="M8" s="527" t="n"/>
      <c r="N8" s="460" t="inlineStr">
        <is>
          <t>Fecha Termino:</t>
        </is>
      </c>
      <c r="O8" s="527"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8" t="n"/>
      <c r="D10" s="527" t="n"/>
      <c r="E10" s="329" t="inlineStr">
        <is>
          <t>Norma Oficial Mexicana NOM-021-RECNAT-2000. Segunda Sección (31 de Diciembre 2002). Ítem 7.3.25 AS-29.2000. Determinación de Carbonatos de Calcio equivalentes por el método de neutralización acida.</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45022</v>
      </c>
      <c r="G19" s="95" t="inlineStr">
        <is>
          <t>N.A</t>
        </is>
      </c>
      <c r="H19" s="69" t="n"/>
      <c r="I19" s="69" t="n"/>
      <c r="J19" s="511" t="n"/>
      <c r="K19" s="511" t="n"/>
      <c r="L19" s="484" t="n"/>
      <c r="M19" s="484" t="n"/>
      <c r="N19" s="511" t="n"/>
      <c r="O19" s="511" t="n"/>
      <c r="P19" s="511" t="n"/>
    </row>
    <row r="20" ht="45" customHeight="1" s="173">
      <c r="A20" s="78" t="n"/>
      <c r="B20" s="94" t="n">
        <v>3</v>
      </c>
      <c r="C20" s="461" t="inlineStr">
        <is>
          <t>Valoracion de soluciones</t>
        </is>
      </c>
      <c r="D20" s="528" t="n"/>
      <c r="E20" s="527" t="n"/>
      <c r="F20" s="96" t="n">
        <v>45022</v>
      </c>
      <c r="G20" s="95" t="inlineStr">
        <is>
          <t>N.A</t>
        </is>
      </c>
      <c r="H20" s="69" t="n"/>
      <c r="I20" s="69" t="n"/>
      <c r="J20" s="511" t="n"/>
      <c r="K20" s="511" t="n"/>
      <c r="L20" s="484" t="n"/>
      <c r="M20" s="484" t="n"/>
      <c r="N20" s="511" t="n"/>
      <c r="O20" s="511" t="n"/>
      <c r="P20" s="511" t="n"/>
    </row>
    <row r="21" ht="45" customHeight="1" s="173">
      <c r="A21" s="78" t="n"/>
      <c r="B21" s="94" t="n">
        <v>4</v>
      </c>
      <c r="C21" s="461" t="inlineStr">
        <is>
          <t>Titulacion de muestras de suelos y calculos</t>
        </is>
      </c>
      <c r="D21" s="528" t="n"/>
      <c r="E21" s="527" t="n"/>
      <c r="F21" s="96" t="n">
        <v>45022</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Magnetico</t>
        </is>
      </c>
      <c r="F31" s="527" t="n"/>
      <c r="G31" s="287" t="inlineStr">
        <is>
          <t>EQ-73-ILL</t>
        </is>
      </c>
      <c r="H31" s="528" t="n"/>
      <c r="I31" s="527" t="n"/>
      <c r="J31" s="74" t="n"/>
      <c r="K31" s="74" t="n"/>
      <c r="L31" s="74" t="n"/>
      <c r="M31" s="74" t="n"/>
      <c r="N31" s="74" t="n"/>
      <c r="O31" s="74" t="n"/>
      <c r="P31" s="74" t="n"/>
    </row>
    <row r="32" ht="20.1" customHeight="1" s="173">
      <c r="A32" s="78" t="n"/>
      <c r="B32" s="535" t="n"/>
      <c r="D32" s="536" t="n"/>
      <c r="E32" s="364" t="inlineStr">
        <is>
          <t>Agitador Mecanico</t>
        </is>
      </c>
      <c r="F32" s="527" t="n"/>
      <c r="G32" s="287" t="inlineStr">
        <is>
          <t>EQ-073-ILL</t>
        </is>
      </c>
      <c r="H32" s="528" t="n"/>
      <c r="I32" s="527" t="n"/>
      <c r="J32" s="74" t="n"/>
      <c r="K32" s="74" t="n"/>
      <c r="L32" s="74" t="n"/>
      <c r="M32" s="74" t="n"/>
      <c r="N32" s="74" t="n"/>
      <c r="O32" s="74" t="n"/>
      <c r="P32" s="74" t="n"/>
    </row>
    <row r="33" ht="20.1" customHeight="1" s="173">
      <c r="A33" s="78" t="n"/>
      <c r="B33" s="539" t="n"/>
      <c r="C33" s="541" t="n"/>
      <c r="D33" s="540" t="n"/>
      <c r="E33" s="364" t="inlineStr">
        <is>
          <t>Bureta digital</t>
        </is>
      </c>
      <c r="F33" s="527" t="n"/>
      <c r="G33" s="545" t="inlineStr">
        <is>
          <t>EQ-122-ILL</t>
        </is>
      </c>
      <c r="H33" s="528" t="n"/>
      <c r="I33" s="527" t="n"/>
      <c r="J33" s="74" t="n"/>
      <c r="K33" s="74" t="n"/>
      <c r="L33" s="74" t="n"/>
      <c r="M33" s="74" t="n"/>
      <c r="N33" s="74" t="n"/>
      <c r="O33" s="74" t="n"/>
      <c r="P33" s="74" t="n"/>
    </row>
    <row r="34" ht="20.1" customHeight="1" s="173">
      <c r="A34" s="78" t="n"/>
      <c r="B34" s="363" t="inlineStr">
        <is>
          <t>Material de Vidrio:</t>
        </is>
      </c>
      <c r="C34" s="538" t="n"/>
      <c r="D34" s="533" t="n"/>
      <c r="E34" s="364" t="inlineStr">
        <is>
          <t>Luna de reloj</t>
        </is>
      </c>
      <c r="F34" s="527" t="n"/>
      <c r="G34" s="546" t="inlineStr">
        <is>
          <t>N.A.</t>
        </is>
      </c>
      <c r="H34" s="528" t="n"/>
      <c r="I34" s="527" t="n"/>
      <c r="J34" s="74" t="n"/>
      <c r="K34" s="74" t="n"/>
      <c r="L34" s="74" t="n"/>
      <c r="M34" s="74" t="n"/>
      <c r="N34" s="74" t="n"/>
      <c r="O34" s="74" t="n"/>
      <c r="P34" s="74" t="n"/>
    </row>
    <row r="35" ht="20.1" customHeight="1" s="173">
      <c r="A35" s="78" t="n"/>
      <c r="B35" s="535" t="n"/>
      <c r="D35" s="536" t="n"/>
      <c r="E35" s="364" t="inlineStr">
        <is>
          <t>Pipetas</t>
        </is>
      </c>
      <c r="F35" s="527" t="n"/>
      <c r="G35" s="546" t="inlineStr">
        <is>
          <t>MV-081-ILL</t>
        </is>
      </c>
      <c r="H35" s="528" t="n"/>
      <c r="I35" s="527" t="n"/>
      <c r="J35" s="74" t="n"/>
      <c r="K35" s="74" t="n"/>
      <c r="L35" s="74" t="n"/>
      <c r="M35" s="74" t="n"/>
      <c r="N35" s="74" t="n"/>
      <c r="O35" s="74" t="n"/>
      <c r="P35" s="74" t="n"/>
    </row>
    <row r="36" ht="20.1" customHeight="1" s="173">
      <c r="A36" s="78" t="n"/>
      <c r="B36" s="535" t="n"/>
      <c r="D36" s="536" t="n"/>
      <c r="E36" s="364" t="inlineStr">
        <is>
          <t>Vasos de Precipitado</t>
        </is>
      </c>
      <c r="F36" s="527" t="n"/>
      <c r="G36" s="550" t="inlineStr">
        <is>
          <t>MV-069-ILL</t>
        </is>
      </c>
      <c r="H36" s="528" t="n"/>
      <c r="I36" s="527" t="n"/>
      <c r="J36" s="74" t="n"/>
      <c r="K36" s="74" t="n"/>
      <c r="L36" s="74" t="n"/>
      <c r="M36" s="74" t="n"/>
      <c r="N36" s="74" t="n"/>
      <c r="O36" s="74" t="n"/>
      <c r="P36" s="74" t="n"/>
    </row>
    <row r="37" ht="20.1" customHeight="1" s="173">
      <c r="A37" s="78" t="n"/>
      <c r="B37" s="539" t="n"/>
      <c r="C37" s="541" t="n"/>
      <c r="D37" s="540" t="n"/>
      <c r="E37" s="364" t="inlineStr">
        <is>
          <t>Erlenmayer</t>
        </is>
      </c>
      <c r="F37" s="527" t="n"/>
      <c r="G37" s="550" t="inlineStr">
        <is>
          <t>MV-132-ILL</t>
        </is>
      </c>
      <c r="H37" s="528" t="n"/>
      <c r="I37" s="527"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8" t="n"/>
      <c r="D40" s="533" t="n"/>
      <c r="E40" s="389" t="inlineStr">
        <is>
          <t>Autorización Total</t>
        </is>
      </c>
      <c r="F40" s="538" t="n"/>
      <c r="G40" s="538" t="n"/>
      <c r="H40" s="538" t="n"/>
      <c r="I40" s="533" t="n"/>
      <c r="J40" s="389" t="inlineStr">
        <is>
          <t xml:space="preserve">Fecha: </t>
        </is>
      </c>
      <c r="K40" s="548">
        <f>N18</f>
        <v/>
      </c>
      <c r="L40" s="533" t="n"/>
      <c r="M40" s="74" t="n"/>
      <c r="N40" s="74" t="n"/>
      <c r="O40" s="74" t="n"/>
      <c r="P40" s="74" t="n"/>
    </row>
    <row r="41">
      <c r="A41" s="78" t="n"/>
      <c r="B41" s="539" t="n"/>
      <c r="C41" s="541" t="n"/>
      <c r="D41" s="540" t="n"/>
      <c r="E41" s="539" t="n"/>
      <c r="F41" s="541" t="n"/>
      <c r="G41" s="541" t="n"/>
      <c r="H41" s="541" t="n"/>
      <c r="I41" s="540" t="n"/>
      <c r="J41" s="512" t="n"/>
      <c r="K41" s="539" t="n"/>
      <c r="L41" s="540"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8" t="n"/>
      <c r="D44" s="528" t="n"/>
      <c r="E44" s="528" t="n"/>
      <c r="F44" s="528" t="n"/>
      <c r="G44" s="528" t="n"/>
      <c r="H44" s="528" t="n"/>
      <c r="I44" s="528" t="n"/>
      <c r="J44" s="527"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9"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8" t="n"/>
      <c r="D46" s="538" t="n"/>
      <c r="E46" s="538" t="n"/>
      <c r="F46" s="538" t="n"/>
      <c r="G46" s="538" t="n"/>
      <c r="H46" s="538" t="n"/>
      <c r="I46" s="538" t="n"/>
      <c r="J46" s="538" t="n"/>
      <c r="K46" s="538" t="n"/>
      <c r="L46" s="538" t="n"/>
      <c r="M46" s="538" t="n"/>
      <c r="N46" s="538" t="n"/>
      <c r="O46" s="538" t="n"/>
      <c r="P46" s="538" t="n"/>
      <c r="Q46" s="63" t="n"/>
      <c r="R46" s="63" t="n"/>
    </row>
    <row r="47">
      <c r="A47" s="78" t="n"/>
      <c r="B47" s="535" t="n"/>
      <c r="Q47" s="63" t="n"/>
      <c r="R47" s="63" t="n"/>
    </row>
    <row r="48">
      <c r="A48" s="78" t="n"/>
      <c r="B48" s="535" t="n"/>
      <c r="Q48" s="63" t="n"/>
      <c r="R48" s="63" t="n"/>
    </row>
    <row r="49">
      <c r="A49" s="78" t="n"/>
      <c r="B49" s="535" t="n"/>
      <c r="Q49" s="63" t="n"/>
      <c r="R49" s="63" t="n"/>
    </row>
    <row r="50">
      <c r="A50" s="78" t="n"/>
      <c r="B50" s="539" t="n"/>
      <c r="C50" s="541" t="n"/>
      <c r="D50" s="541" t="n"/>
      <c r="E50" s="541" t="n"/>
      <c r="F50" s="541" t="n"/>
      <c r="G50" s="541" t="n"/>
      <c r="H50" s="541" t="n"/>
      <c r="I50" s="541" t="n"/>
      <c r="J50" s="541" t="n"/>
      <c r="K50" s="541" t="n"/>
      <c r="L50" s="541" t="n"/>
      <c r="M50" s="541" t="n"/>
      <c r="N50" s="541" t="n"/>
      <c r="O50" s="541" t="n"/>
      <c r="P50" s="541"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7" t="n"/>
      <c r="I53" s="410" t="inlineStr">
        <is>
          <t>Fecha Aprobación</t>
        </is>
      </c>
      <c r="J53" s="527" t="n"/>
      <c r="K53" s="410" t="inlineStr">
        <is>
          <t>Firma</t>
        </is>
      </c>
      <c r="L53" s="527" t="n"/>
      <c r="M53" s="74" t="n"/>
      <c r="N53" s="74" t="n"/>
      <c r="O53" s="74" t="n"/>
      <c r="P53" s="74" t="n"/>
    </row>
    <row r="54" ht="28.5" customHeight="1" s="173">
      <c r="A54" s="78" t="n"/>
      <c r="B54" s="328" t="inlineStr">
        <is>
          <t>RESPONSABLE DEL ENTRENAMIENTO:</t>
        </is>
      </c>
      <c r="C54" s="528" t="n"/>
      <c r="D54" s="528" t="n"/>
      <c r="E54" s="528" t="n"/>
      <c r="F54" s="527" t="n"/>
      <c r="G54" s="495" t="inlineStr">
        <is>
          <t>Ing. Dalmecio Miranda</t>
        </is>
      </c>
      <c r="H54" s="472" t="n"/>
      <c r="I54" s="411">
        <f>K40</f>
        <v/>
      </c>
      <c r="J54" s="527" t="n"/>
      <c r="K54" s="550" t="n"/>
      <c r="L54" s="527" t="n"/>
      <c r="M54" s="74" t="n"/>
      <c r="N54" s="74" t="n"/>
      <c r="O54" s="74" t="n"/>
      <c r="P54" s="74" t="n"/>
    </row>
    <row r="55" ht="26.25" customHeight="1" s="173">
      <c r="A55" s="78" t="n"/>
      <c r="B55" s="551" t="inlineStr">
        <is>
          <t>RESPONSABLE DEL LABORATORIO</t>
        </is>
      </c>
      <c r="C55" s="528" t="n"/>
      <c r="D55" s="528" t="n"/>
      <c r="E55" s="528" t="n"/>
      <c r="F55" s="527" t="n"/>
      <c r="G55" s="497" t="inlineStr">
        <is>
          <t>Ing. Dalmecio Miranda</t>
        </is>
      </c>
      <c r="H55" s="472" t="n"/>
      <c r="I55" s="411">
        <f>K40</f>
        <v/>
      </c>
      <c r="J55" s="527" t="n"/>
      <c r="K55" s="550" t="n"/>
      <c r="L55" s="527" t="n"/>
      <c r="M55" s="74" t="n"/>
      <c r="N55" s="74" t="n"/>
      <c r="O55" s="74" t="n"/>
      <c r="P55" s="74" t="n"/>
    </row>
    <row r="56" ht="28.5" customHeight="1" s="173">
      <c r="A56" s="78" t="n"/>
      <c r="B56" s="328" t="inlineStr">
        <is>
          <t>PERSONAL ENTRENADO</t>
        </is>
      </c>
      <c r="C56" s="528" t="n"/>
      <c r="D56" s="528" t="n"/>
      <c r="E56" s="528" t="n"/>
      <c r="F56" s="527" t="n"/>
      <c r="G56" s="529" t="n"/>
      <c r="H56" s="527" t="n"/>
      <c r="I56" s="411">
        <f>K40</f>
        <v/>
      </c>
      <c r="J56" s="527" t="n"/>
      <c r="K56" s="550" t="n"/>
      <c r="L56" s="527"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7" t="n"/>
      <c r="E59" s="343" t="inlineStr">
        <is>
          <t>Código</t>
        </is>
      </c>
      <c r="F59" s="528" t="n"/>
      <c r="G59" s="527" t="n"/>
      <c r="H59" s="343" t="inlineStr">
        <is>
          <t>Matriz</t>
        </is>
      </c>
      <c r="I59" s="527" t="n"/>
      <c r="J59" s="414" t="inlineStr">
        <is>
          <t>Fecha</t>
        </is>
      </c>
      <c r="K59" s="553" t="inlineStr">
        <is>
          <t>Responsable de la
Re-evaluación</t>
        </is>
      </c>
      <c r="L59" s="527" t="n"/>
      <c r="M59" s="414" t="inlineStr">
        <is>
          <t>Resultado</t>
        </is>
      </c>
      <c r="N59" s="527" t="n"/>
      <c r="O59" s="86" t="inlineStr">
        <is>
          <t>Firma Jefe /Responsable del Area</t>
        </is>
      </c>
      <c r="P59" s="410" t="inlineStr">
        <is>
          <t>Observaciones</t>
        </is>
      </c>
    </row>
    <row r="60" ht="30.75" customHeight="1" s="173">
      <c r="A60" s="78" t="n"/>
      <c r="B60" s="288" t="n">
        <v>1</v>
      </c>
      <c r="C60" s="526" t="inlineStr">
        <is>
          <t>Asistencia</t>
        </is>
      </c>
      <c r="D60" s="527" t="n"/>
      <c r="E60" s="287" t="inlineStr">
        <is>
          <t>F-02</t>
        </is>
      </c>
      <c r="F60" s="528" t="n"/>
      <c r="G60" s="527" t="n"/>
      <c r="H60" s="287" t="inlineStr">
        <is>
          <t>Suelo</t>
        </is>
      </c>
      <c r="I60" s="527" t="n"/>
      <c r="J60" s="81" t="n">
        <v>45696</v>
      </c>
      <c r="K60" s="529" t="inlineStr">
        <is>
          <t>Ing. Dalmecio Miranda</t>
        </is>
      </c>
      <c r="L60" s="527" t="n"/>
      <c r="M60" s="288" t="inlineStr">
        <is>
          <t>Satisfactorio</t>
        </is>
      </c>
      <c r="N60" s="527" t="n"/>
      <c r="O60" s="80" t="n"/>
      <c r="P60" s="411" t="inlineStr">
        <is>
          <t>Ninguna</t>
        </is>
      </c>
    </row>
    <row r="61" ht="30.75" customHeight="1" s="173">
      <c r="A61" s="78" t="n"/>
      <c r="B61" s="84" t="n">
        <v>2</v>
      </c>
      <c r="C61" s="526" t="inlineStr">
        <is>
          <t xml:space="preserve">Supervisión </t>
        </is>
      </c>
      <c r="D61" s="527" t="n"/>
      <c r="E61" s="287" t="inlineStr">
        <is>
          <t>F-56</t>
        </is>
      </c>
      <c r="F61" s="528" t="n"/>
      <c r="G61" s="527" t="n"/>
      <c r="H61" s="287" t="inlineStr">
        <is>
          <t>Suelo</t>
        </is>
      </c>
      <c r="I61" s="527" t="n"/>
      <c r="J61" s="81" t="n">
        <v>45696</v>
      </c>
      <c r="K61" s="529" t="inlineStr">
        <is>
          <t>Ing. Dalmecio Miranda</t>
        </is>
      </c>
      <c r="L61" s="527" t="n"/>
      <c r="M61" s="288" t="inlineStr">
        <is>
          <t>Satisfactorio</t>
        </is>
      </c>
      <c r="N61" s="527" t="n"/>
      <c r="O61" s="83" t="n"/>
      <c r="P61" s="411" t="inlineStr">
        <is>
          <t>Ninguna</t>
        </is>
      </c>
    </row>
    <row r="62" ht="30.75" customHeight="1" s="173">
      <c r="A62" s="78" t="n"/>
      <c r="B62" s="288" t="n"/>
      <c r="C62" s="288" t="n"/>
      <c r="D62" s="527" t="n"/>
      <c r="E62" s="288" t="n"/>
      <c r="F62" s="528" t="n"/>
      <c r="G62" s="527" t="n"/>
      <c r="H62" s="288" t="n"/>
      <c r="I62" s="527" t="n"/>
      <c r="J62" s="81" t="n"/>
      <c r="K62" s="288" t="n"/>
      <c r="L62" s="527" t="n"/>
      <c r="M62" s="288" t="n"/>
      <c r="N62" s="527"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3" t="n"/>
      <c r="D1" s="534" t="inlineStr">
        <is>
          <t>FORMATO</t>
        </is>
      </c>
      <c r="E1" s="528" t="n"/>
      <c r="F1" s="528" t="n"/>
      <c r="G1" s="528" t="n"/>
      <c r="H1" s="528" t="n"/>
      <c r="I1" s="528" t="n"/>
      <c r="J1" s="528" t="n"/>
      <c r="K1" s="528" t="n"/>
      <c r="L1" s="528" t="n"/>
      <c r="M1" s="528" t="n"/>
      <c r="N1" s="527" t="n"/>
      <c r="O1" s="111" t="inlineStr">
        <is>
          <t>Código</t>
        </is>
      </c>
      <c r="P1" s="111" t="inlineStr">
        <is>
          <t>F-52</t>
        </is>
      </c>
    </row>
    <row r="2" ht="15" customFormat="1" customHeight="1" s="109">
      <c r="B2" s="535" t="n"/>
      <c r="C2" s="536" t="n"/>
      <c r="D2" s="537" t="inlineStr">
        <is>
          <t>INDUCCION, ENTRENAMIENTO, EVALUACIÓN Y AUTORIZACIÓN DEL PERSONAL</t>
        </is>
      </c>
      <c r="E2" s="538" t="n"/>
      <c r="F2" s="538" t="n"/>
      <c r="G2" s="538" t="n"/>
      <c r="H2" s="538" t="n"/>
      <c r="I2" s="538" t="n"/>
      <c r="J2" s="538" t="n"/>
      <c r="K2" s="538" t="n"/>
      <c r="L2" s="538" t="n"/>
      <c r="M2" s="538" t="n"/>
      <c r="N2" s="533" t="n"/>
      <c r="O2" s="111" t="inlineStr">
        <is>
          <t>Versión</t>
        </is>
      </c>
      <c r="P2" s="112" t="inlineStr">
        <is>
          <t>02</t>
        </is>
      </c>
    </row>
    <row r="3" ht="15" customFormat="1" customHeight="1" s="109">
      <c r="B3" s="535" t="n"/>
      <c r="C3" s="536" t="n"/>
      <c r="D3" s="535" t="n"/>
      <c r="N3" s="536" t="n"/>
      <c r="O3" s="111" t="inlineStr">
        <is>
          <t>Página</t>
        </is>
      </c>
      <c r="P3" s="111" t="inlineStr">
        <is>
          <t>1 de 1</t>
        </is>
      </c>
    </row>
    <row r="4" ht="15" customFormat="1" customHeight="1" s="109">
      <c r="B4" s="539" t="n"/>
      <c r="C4" s="540" t="n"/>
      <c r="D4" s="539" t="n"/>
      <c r="E4" s="541" t="n"/>
      <c r="F4" s="541" t="n"/>
      <c r="G4" s="541" t="n"/>
      <c r="H4" s="541" t="n"/>
      <c r="I4" s="541" t="n"/>
      <c r="J4" s="541" t="n"/>
      <c r="K4" s="541" t="n"/>
      <c r="L4" s="541" t="n"/>
      <c r="M4" s="541" t="n"/>
      <c r="N4" s="540"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8" t="n"/>
      <c r="D8" s="527" t="n"/>
      <c r="E8" s="567" t="inlineStr">
        <is>
          <t>24 de Mayo de 2024 a 26 de Junio de 2024</t>
        </is>
      </c>
      <c r="F8" s="528" t="n"/>
      <c r="G8" s="527" t="n"/>
      <c r="H8" s="460" t="inlineStr">
        <is>
          <t>Fecha de Inicio:</t>
        </is>
      </c>
      <c r="I8" s="528" t="n"/>
      <c r="J8" s="527" t="n"/>
      <c r="K8" s="568" t="n">
        <v>45436</v>
      </c>
      <c r="L8" s="528" t="n"/>
      <c r="M8" s="527" t="n"/>
      <c r="N8" s="460" t="inlineStr">
        <is>
          <t>Fecha Termino:</t>
        </is>
      </c>
      <c r="O8" s="527"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8" t="n"/>
      <c r="D10" s="527" t="n"/>
      <c r="E10" s="329" t="inlineStr">
        <is>
          <t>Norma Oficial Mexicana NOM-021-RECNAT-2000. Segunda Sección (31 de Diciembre 2002). Ítem 7.3.29 AS-33.2000. Determinación de la Acidez y Aluminio Intercambiable por el procedimiento de Cloruro de Potasio (AS-33).</t>
        </is>
      </c>
      <c r="F10" s="528" t="n"/>
      <c r="G10" s="528" t="n"/>
      <c r="H10" s="528" t="n"/>
      <c r="I10" s="528" t="n"/>
      <c r="J10" s="528" t="n"/>
      <c r="K10" s="528" t="n"/>
      <c r="L10" s="528" t="n"/>
      <c r="M10" s="528" t="n"/>
      <c r="N10" s="528" t="n"/>
      <c r="O10" s="528" t="n"/>
      <c r="P10" s="527"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8" t="n"/>
      <c r="D12" s="527" t="n"/>
      <c r="E12" s="329" t="inlineStr">
        <is>
          <t>Suelos</t>
        </is>
      </c>
      <c r="F12" s="528" t="n"/>
      <c r="G12" s="528" t="n"/>
      <c r="H12" s="528" t="n"/>
      <c r="I12" s="528" t="n"/>
      <c r="J12" s="528" t="n"/>
      <c r="K12" s="528" t="n"/>
      <c r="L12" s="528" t="n"/>
      <c r="M12" s="528" t="n"/>
      <c r="N12" s="528" t="n"/>
      <c r="O12" s="528" t="n"/>
      <c r="P12" s="527"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8" t="n"/>
      <c r="E15" s="533" t="n"/>
      <c r="F15" s="343" t="inlineStr">
        <is>
          <t>Evaluación</t>
        </is>
      </c>
      <c r="G15" s="528" t="n"/>
      <c r="H15" s="528" t="n"/>
      <c r="I15" s="528" t="n"/>
      <c r="J15" s="528" t="n"/>
      <c r="K15" s="528" t="n"/>
      <c r="L15" s="528" t="n"/>
      <c r="M15" s="527" t="n"/>
      <c r="N15" s="410" t="inlineStr">
        <is>
          <t>Considerado Satisfactorio</t>
        </is>
      </c>
      <c r="O15" s="527" t="n"/>
      <c r="P15" s="410" t="inlineStr">
        <is>
          <t>Observación</t>
        </is>
      </c>
    </row>
    <row r="16">
      <c r="A16" s="78" t="n"/>
      <c r="B16" s="511" t="n"/>
      <c r="C16" s="535" t="n"/>
      <c r="E16" s="536" t="n"/>
      <c r="F16" s="346" t="inlineStr">
        <is>
          <t>Evaluación</t>
        </is>
      </c>
      <c r="G16" s="527" t="n"/>
      <c r="H16" s="346" t="inlineStr">
        <is>
          <t>Evaluación</t>
        </is>
      </c>
      <c r="I16" s="527" t="n"/>
      <c r="J16" s="346" t="inlineStr">
        <is>
          <t>1era Supervisión</t>
        </is>
      </c>
      <c r="K16" s="527" t="n"/>
      <c r="L16" s="346" t="inlineStr">
        <is>
          <t>2da Supervisión</t>
        </is>
      </c>
      <c r="M16" s="527" t="n"/>
      <c r="N16" s="542" t="inlineStr">
        <is>
          <t>Fecha</t>
        </is>
      </c>
      <c r="O16" s="542" t="inlineStr">
        <is>
          <t>Nombre del Responsable</t>
        </is>
      </c>
      <c r="P16" s="511" t="n"/>
    </row>
    <row r="17">
      <c r="A17" s="78" t="n"/>
      <c r="B17" s="512" t="n"/>
      <c r="C17" s="539" t="n"/>
      <c r="D17" s="541" t="n"/>
      <c r="E17" s="540"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2" t="n"/>
      <c r="O17" s="512" t="n"/>
      <c r="P17" s="512" t="n"/>
    </row>
    <row r="18" ht="51" customHeight="1" s="173">
      <c r="A18" s="78" t="n"/>
      <c r="B18" s="94" t="n">
        <v>1</v>
      </c>
      <c r="C18" s="461" t="inlineStr">
        <is>
          <t>Alcance y Aplicación del método, Interferencias, Reactivos y Estandares. Colección de la muestra / Preservacion y Almacenamiento</t>
        </is>
      </c>
      <c r="D18" s="528" t="n"/>
      <c r="E18" s="527"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9"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8" t="n"/>
      <c r="E19" s="527" t="n"/>
      <c r="F19" s="96" t="n">
        <v>45022</v>
      </c>
      <c r="G19" s="95" t="inlineStr">
        <is>
          <t>N.A</t>
        </is>
      </c>
      <c r="H19" s="69" t="n"/>
      <c r="I19" s="69" t="n"/>
      <c r="J19" s="511" t="n"/>
      <c r="K19" s="511" t="n"/>
      <c r="L19" s="484" t="n"/>
      <c r="M19" s="484" t="n"/>
      <c r="N19" s="511" t="n"/>
      <c r="O19" s="511" t="n"/>
      <c r="P19" s="511" t="n"/>
    </row>
    <row r="20" ht="45" customHeight="1" s="173">
      <c r="A20" s="78" t="n"/>
      <c r="B20" s="94" t="n">
        <v>3</v>
      </c>
      <c r="C20" s="461" t="inlineStr">
        <is>
          <t>Valoracion de soluciones</t>
        </is>
      </c>
      <c r="D20" s="528" t="n"/>
      <c r="E20" s="527" t="n"/>
      <c r="F20" s="96" t="n">
        <v>45022</v>
      </c>
      <c r="G20" s="95" t="inlineStr">
        <is>
          <t>N.A</t>
        </is>
      </c>
      <c r="H20" s="69" t="n"/>
      <c r="I20" s="69" t="n"/>
      <c r="J20" s="511" t="n"/>
      <c r="K20" s="511" t="n"/>
      <c r="L20" s="484" t="n"/>
      <c r="M20" s="484" t="n"/>
      <c r="N20" s="511" t="n"/>
      <c r="O20" s="511" t="n"/>
      <c r="P20" s="511" t="n"/>
    </row>
    <row r="21" ht="45" customHeight="1" s="173">
      <c r="A21" s="78" t="n"/>
      <c r="B21" s="94" t="n">
        <v>4</v>
      </c>
      <c r="C21" s="461" t="inlineStr">
        <is>
          <t>Titulacion de muestras de suelos y calculos</t>
        </is>
      </c>
      <c r="D21" s="528" t="n"/>
      <c r="E21" s="527" t="n"/>
      <c r="F21" s="96" t="n">
        <v>45022</v>
      </c>
      <c r="G21" s="95" t="inlineStr">
        <is>
          <t>N.A</t>
        </is>
      </c>
      <c r="H21" s="69" t="n"/>
      <c r="I21" s="69" t="n"/>
      <c r="J21" s="511" t="n"/>
      <c r="K21" s="511" t="n"/>
      <c r="L21" s="484" t="n"/>
      <c r="M21" s="484" t="n"/>
      <c r="N21" s="511" t="n"/>
      <c r="O21" s="511" t="n"/>
      <c r="P21" s="511" t="n"/>
    </row>
    <row r="22" ht="54.75" customHeight="1" s="173">
      <c r="A22" s="78" t="n"/>
      <c r="B22" s="94" t="n">
        <v>5</v>
      </c>
      <c r="C22" s="461" t="n"/>
      <c r="D22" s="528" t="n"/>
      <c r="E22" s="527" t="n"/>
      <c r="F22" s="96" t="n"/>
      <c r="G22" s="95" t="n"/>
      <c r="H22" s="69" t="n"/>
      <c r="I22" s="69" t="n"/>
      <c r="J22" s="511" t="n"/>
      <c r="K22" s="511" t="n"/>
      <c r="L22" s="484" t="n"/>
      <c r="M22" s="484" t="n"/>
      <c r="N22" s="511" t="n"/>
      <c r="O22" s="511" t="n"/>
      <c r="P22" s="511" t="n"/>
    </row>
    <row r="23" ht="57.75" customHeight="1" s="173">
      <c r="A23" s="78" t="n"/>
      <c r="B23" s="94" t="n">
        <v>6</v>
      </c>
      <c r="C23" s="543" t="n"/>
      <c r="D23" s="528" t="n"/>
      <c r="E23" s="527" t="n"/>
      <c r="F23" s="69" t="n"/>
      <c r="G23" s="69" t="n"/>
      <c r="H23" s="69" t="n"/>
      <c r="I23" s="69" t="n"/>
      <c r="J23" s="512" t="n"/>
      <c r="K23" s="512" t="n"/>
      <c r="L23" s="487" t="n"/>
      <c r="M23" s="487" t="n"/>
      <c r="N23" s="512" t="n"/>
      <c r="O23" s="512" t="n"/>
      <c r="P23" s="512"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8" t="n"/>
      <c r="D26" s="528" t="n"/>
      <c r="E26" s="527" t="n"/>
      <c r="F26" s="74" t="n"/>
      <c r="G26" s="74" t="n"/>
      <c r="H26" s="74" t="n"/>
      <c r="I26" s="74" t="n"/>
      <c r="J26" s="74" t="n"/>
      <c r="K26" s="74" t="n"/>
      <c r="L26" s="74" t="n"/>
      <c r="M26" s="74" t="n"/>
      <c r="N26" s="74" t="n"/>
      <c r="O26" s="74" t="n"/>
      <c r="P26" s="74" t="n"/>
    </row>
    <row r="27" ht="20.1" customFormat="1" customHeight="1" s="91">
      <c r="A27" s="93" t="n"/>
      <c r="B27" s="343" t="inlineStr">
        <is>
          <t>Tipo</t>
        </is>
      </c>
      <c r="C27" s="528" t="n"/>
      <c r="D27" s="527" t="n"/>
      <c r="E27" s="343" t="inlineStr">
        <is>
          <t>Nombre</t>
        </is>
      </c>
      <c r="F27" s="527" t="n"/>
      <c r="G27" s="343" t="inlineStr">
        <is>
          <t>Caracteristicas/Presentación</t>
        </is>
      </c>
      <c r="H27" s="528" t="n"/>
      <c r="I27" s="527" t="n"/>
      <c r="J27" s="92" t="n"/>
      <c r="K27" s="92" t="n"/>
      <c r="L27" s="92" t="n"/>
      <c r="M27" s="92" t="n"/>
      <c r="N27" s="92" t="n"/>
      <c r="O27" s="92" t="n"/>
      <c r="P27" s="92" t="n"/>
    </row>
    <row r="28" ht="20.1" customHeight="1" s="173">
      <c r="A28" s="78" t="n"/>
      <c r="B28" s="363" t="inlineStr">
        <is>
          <t>Instrumental:</t>
        </is>
      </c>
      <c r="C28" s="528" t="n"/>
      <c r="D28" s="527" t="n"/>
      <c r="E28" s="364" t="n"/>
      <c r="F28" s="527" t="n"/>
      <c r="G28" s="544" t="n"/>
      <c r="H28" s="528" t="n"/>
      <c r="I28" s="527" t="n"/>
      <c r="J28" s="74" t="n"/>
      <c r="K28" s="67" t="n"/>
      <c r="L28" s="74" t="n"/>
      <c r="M28" s="74" t="n"/>
      <c r="N28" s="74" t="n"/>
      <c r="O28" s="74" t="n"/>
      <c r="P28" s="74" t="n"/>
    </row>
    <row r="29" ht="20.1" customHeight="1" s="173">
      <c r="A29" s="78" t="n"/>
      <c r="B29" s="363" t="inlineStr">
        <is>
          <t>Equipos de Mesa:</t>
        </is>
      </c>
      <c r="C29" s="528" t="n"/>
      <c r="D29" s="527" t="n"/>
      <c r="E29" s="364" t="n"/>
      <c r="F29" s="527" t="n"/>
      <c r="G29" s="287" t="n"/>
      <c r="H29" s="528" t="n"/>
      <c r="I29" s="527" t="n"/>
      <c r="J29" s="74" t="n"/>
      <c r="K29" s="74" t="n"/>
      <c r="L29" s="74" t="n"/>
      <c r="M29" s="74" t="n"/>
      <c r="N29" s="74" t="n"/>
      <c r="O29" s="74" t="n"/>
      <c r="P29" s="74" t="n"/>
    </row>
    <row r="30" ht="20.1" customHeight="1" s="173">
      <c r="A30" s="78" t="n"/>
      <c r="B30" s="363" t="inlineStr">
        <is>
          <t>Equipos Complementarios:</t>
        </is>
      </c>
      <c r="C30" s="538" t="n"/>
      <c r="D30" s="533" t="n"/>
      <c r="E30" s="364" t="inlineStr">
        <is>
          <t>Balanza</t>
        </is>
      </c>
      <c r="F30" s="527" t="n"/>
      <c r="G30" s="544" t="inlineStr">
        <is>
          <t>EQ-080-ILL</t>
        </is>
      </c>
      <c r="H30" s="528" t="n"/>
      <c r="I30" s="527" t="n"/>
      <c r="J30" s="74" t="n"/>
      <c r="K30" s="74" t="n"/>
      <c r="L30" s="74" t="n"/>
      <c r="M30" s="74" t="n"/>
      <c r="N30" s="74" t="n"/>
      <c r="O30" s="74" t="n"/>
      <c r="P30" s="74" t="n"/>
    </row>
    <row r="31" ht="20.1" customHeight="1" s="173">
      <c r="A31" s="78" t="n"/>
      <c r="B31" s="535" t="n"/>
      <c r="D31" s="536" t="n"/>
      <c r="E31" s="364" t="inlineStr">
        <is>
          <t>Agitador Magnetico</t>
        </is>
      </c>
      <c r="F31" s="527" t="n"/>
      <c r="G31" s="287" t="inlineStr">
        <is>
          <t>EQ-73-ILL</t>
        </is>
      </c>
      <c r="H31" s="528" t="n"/>
      <c r="I31" s="527" t="n"/>
      <c r="J31" s="74" t="n"/>
      <c r="K31" s="74" t="n"/>
      <c r="L31" s="74" t="n"/>
      <c r="M31" s="74" t="n"/>
      <c r="N31" s="74" t="n"/>
      <c r="O31" s="74" t="n"/>
      <c r="P31" s="74" t="n"/>
    </row>
    <row r="32" ht="20.1" customHeight="1" s="173">
      <c r="A32" s="78" t="n"/>
      <c r="B32" s="535" t="n"/>
      <c r="D32" s="536" t="n"/>
      <c r="E32" s="364" t="inlineStr">
        <is>
          <t>Centrifugas</t>
        </is>
      </c>
      <c r="F32" s="527" t="n"/>
      <c r="G32" s="287" t="inlineStr">
        <is>
          <t>EQ-121-ILL</t>
        </is>
      </c>
      <c r="H32" s="528" t="n"/>
      <c r="I32" s="527" t="n"/>
      <c r="J32" s="74" t="n"/>
      <c r="K32" s="74" t="n"/>
      <c r="L32" s="74" t="n"/>
      <c r="M32" s="74" t="n"/>
      <c r="N32" s="74" t="n"/>
      <c r="O32" s="74" t="n"/>
      <c r="P32" s="74" t="n"/>
    </row>
    <row r="33" ht="20.1" customHeight="1" s="173">
      <c r="A33" s="78" t="n"/>
      <c r="B33" s="535" t="n"/>
      <c r="D33" s="536" t="n"/>
      <c r="E33" s="364" t="inlineStr">
        <is>
          <t>Agitador Mecanico</t>
        </is>
      </c>
      <c r="F33" s="527" t="n"/>
      <c r="G33" s="287" t="inlineStr">
        <is>
          <t>EQ-073-ILL</t>
        </is>
      </c>
      <c r="H33" s="528" t="n"/>
      <c r="I33" s="527" t="n"/>
      <c r="J33" s="74" t="n"/>
      <c r="K33" s="74" t="n"/>
      <c r="L33" s="74" t="n"/>
      <c r="M33" s="74" t="n"/>
      <c r="N33" s="74" t="n"/>
      <c r="O33" s="74" t="n"/>
      <c r="P33" s="74" t="n"/>
    </row>
    <row r="34" ht="20.1" customHeight="1" s="173">
      <c r="A34" s="78" t="n"/>
      <c r="B34" s="539" t="n"/>
      <c r="C34" s="541" t="n"/>
      <c r="D34" s="540" t="n"/>
      <c r="E34" s="364" t="inlineStr">
        <is>
          <t>Bureta digital</t>
        </is>
      </c>
      <c r="F34" s="527" t="n"/>
      <c r="G34" s="545" t="inlineStr">
        <is>
          <t>EQ-122-ILL</t>
        </is>
      </c>
      <c r="H34" s="528" t="n"/>
      <c r="I34" s="527" t="n"/>
      <c r="J34" s="74" t="n"/>
      <c r="K34" s="74" t="n"/>
      <c r="L34" s="74" t="n"/>
      <c r="M34" s="74" t="n"/>
      <c r="N34" s="74" t="n"/>
      <c r="O34" s="74" t="n"/>
      <c r="P34" s="74" t="n"/>
    </row>
    <row r="35" ht="20.1" customHeight="1" s="173">
      <c r="A35" s="78" t="n"/>
      <c r="B35" s="363" t="inlineStr">
        <is>
          <t>Material de Vidrio:</t>
        </is>
      </c>
      <c r="C35" s="538" t="n"/>
      <c r="D35" s="533" t="n"/>
      <c r="E35" s="364" t="inlineStr">
        <is>
          <t>Buretas</t>
        </is>
      </c>
      <c r="F35" s="527" t="n"/>
      <c r="G35" s="546" t="inlineStr">
        <is>
          <t>MV-135-ILL</t>
        </is>
      </c>
      <c r="H35" s="528" t="n"/>
      <c r="I35" s="527" t="n"/>
      <c r="J35" s="74" t="n"/>
      <c r="K35" s="74" t="n"/>
      <c r="L35" s="74" t="n"/>
      <c r="M35" s="74" t="n"/>
      <c r="N35" s="74" t="n"/>
      <c r="O35" s="74" t="n"/>
      <c r="P35" s="74" t="n"/>
    </row>
    <row r="36" ht="20.1" customHeight="1" s="173">
      <c r="A36" s="78" t="n"/>
      <c r="B36" s="535" t="n"/>
      <c r="D36" s="536" t="n"/>
      <c r="E36" s="364" t="inlineStr">
        <is>
          <t>Pipetas</t>
        </is>
      </c>
      <c r="F36" s="527" t="n"/>
      <c r="G36" s="546" t="inlineStr">
        <is>
          <t>MV-081-ILL, MV-078-ILL</t>
        </is>
      </c>
      <c r="H36" s="528" t="n"/>
      <c r="I36" s="527" t="n"/>
      <c r="J36" s="74" t="n"/>
      <c r="K36" s="74" t="n"/>
      <c r="L36" s="74" t="n"/>
      <c r="M36" s="74" t="n"/>
      <c r="N36" s="74" t="n"/>
      <c r="O36" s="74" t="n"/>
      <c r="P36" s="74" t="n"/>
    </row>
    <row r="37" ht="20.1" customHeight="1" s="173">
      <c r="A37" s="78" t="n"/>
      <c r="B37" s="535" t="n"/>
      <c r="D37" s="536" t="n"/>
      <c r="E37" s="364" t="inlineStr">
        <is>
          <t>Fiolas</t>
        </is>
      </c>
      <c r="F37" s="527" t="n"/>
      <c r="G37" s="550" t="inlineStr">
        <is>
          <t>MV-016-ILL</t>
        </is>
      </c>
      <c r="H37" s="528" t="n"/>
      <c r="I37" s="527" t="n"/>
      <c r="J37" s="74" t="n"/>
      <c r="K37" s="74" t="n"/>
      <c r="L37" s="74" t="n"/>
      <c r="M37" s="74" t="n"/>
      <c r="N37" s="74" t="n"/>
      <c r="O37" s="74" t="n"/>
      <c r="P37" s="74" t="n"/>
    </row>
    <row r="38" ht="20.1" customHeight="1" s="173">
      <c r="A38" s="78" t="n"/>
      <c r="B38" s="535" t="n"/>
      <c r="D38" s="536" t="n"/>
      <c r="E38" s="364" t="inlineStr">
        <is>
          <t>Erlenmayer</t>
        </is>
      </c>
      <c r="F38" s="527" t="n"/>
      <c r="G38" s="550" t="inlineStr">
        <is>
          <t>MV-132-ILL</t>
        </is>
      </c>
      <c r="H38" s="528" t="n"/>
      <c r="I38" s="527" t="n"/>
      <c r="J38" s="74" t="n"/>
      <c r="K38" s="74" t="n"/>
      <c r="L38" s="74" t="n"/>
      <c r="M38" s="74" t="n"/>
      <c r="N38" s="74" t="n"/>
      <c r="O38" s="74" t="n"/>
      <c r="P38" s="74" t="n"/>
    </row>
    <row r="39" ht="20.1" customHeight="1" s="173">
      <c r="A39" s="78" t="n"/>
      <c r="B39" s="535" t="n"/>
      <c r="D39" s="536" t="n"/>
      <c r="E39" s="364" t="inlineStr">
        <is>
          <t>Micropipetas</t>
        </is>
      </c>
      <c r="F39" s="527" t="n"/>
      <c r="G39" s="550" t="inlineStr">
        <is>
          <t>EQ-096-ILL</t>
        </is>
      </c>
      <c r="H39" s="528" t="n"/>
      <c r="I39" s="527" t="n"/>
      <c r="J39" s="74" t="n"/>
      <c r="K39" s="74" t="n"/>
      <c r="L39" s="74" t="n"/>
      <c r="M39" s="74" t="n"/>
      <c r="N39" s="74" t="n"/>
      <c r="O39" s="74" t="n"/>
      <c r="P39" s="74" t="n"/>
    </row>
    <row r="40" ht="20.1" customHeight="1" s="173">
      <c r="A40" s="78" t="n"/>
      <c r="B40" s="539" t="n"/>
      <c r="C40" s="541" t="n"/>
      <c r="D40" s="540" t="n"/>
      <c r="E40" s="364" t="inlineStr">
        <is>
          <t>Vasos de Precipitado</t>
        </is>
      </c>
      <c r="F40" s="527" t="n"/>
      <c r="G40" s="550" t="inlineStr">
        <is>
          <t>MV-067-ILL</t>
        </is>
      </c>
      <c r="H40" s="528" t="n"/>
      <c r="I40" s="527"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8" t="n"/>
      <c r="D43" s="533" t="n"/>
      <c r="E43" s="389" t="inlineStr">
        <is>
          <t>Autorización Total</t>
        </is>
      </c>
      <c r="F43" s="538" t="n"/>
      <c r="G43" s="538" t="n"/>
      <c r="H43" s="538" t="n"/>
      <c r="I43" s="533" t="n"/>
      <c r="J43" s="389" t="inlineStr">
        <is>
          <t xml:space="preserve">Fecha: </t>
        </is>
      </c>
      <c r="K43" s="548">
        <f>N18</f>
        <v/>
      </c>
      <c r="L43" s="533" t="n"/>
      <c r="M43" s="74" t="n"/>
      <c r="N43" s="74" t="n"/>
      <c r="O43" s="74" t="n"/>
      <c r="P43" s="74" t="n"/>
    </row>
    <row r="44">
      <c r="A44" s="78" t="n"/>
      <c r="B44" s="539" t="n"/>
      <c r="C44" s="541" t="n"/>
      <c r="D44" s="540" t="n"/>
      <c r="E44" s="539" t="n"/>
      <c r="F44" s="541" t="n"/>
      <c r="G44" s="541" t="n"/>
      <c r="H44" s="541" t="n"/>
      <c r="I44" s="540" t="n"/>
      <c r="J44" s="512" t="n"/>
      <c r="K44" s="539" t="n"/>
      <c r="L44" s="540"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8" t="n"/>
      <c r="D47" s="528" t="n"/>
      <c r="E47" s="528" t="n"/>
      <c r="F47" s="528" t="n"/>
      <c r="G47" s="528" t="n"/>
      <c r="H47" s="528" t="n"/>
      <c r="I47" s="528" t="n"/>
      <c r="J47" s="527"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9"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8" t="n"/>
      <c r="D49" s="538" t="n"/>
      <c r="E49" s="538" t="n"/>
      <c r="F49" s="538" t="n"/>
      <c r="G49" s="538" t="n"/>
      <c r="H49" s="538" t="n"/>
      <c r="I49" s="538" t="n"/>
      <c r="J49" s="538" t="n"/>
      <c r="K49" s="538" t="n"/>
      <c r="L49" s="538" t="n"/>
      <c r="M49" s="538" t="n"/>
      <c r="N49" s="538" t="n"/>
      <c r="O49" s="538" t="n"/>
      <c r="P49" s="538" t="n"/>
      <c r="Q49" s="63" t="n"/>
      <c r="R49" s="63" t="n"/>
    </row>
    <row r="50">
      <c r="A50" s="78" t="n"/>
      <c r="B50" s="535" t="n"/>
      <c r="Q50" s="63" t="n"/>
      <c r="R50" s="63" t="n"/>
    </row>
    <row r="51">
      <c r="A51" s="78" t="n"/>
      <c r="B51" s="535" t="n"/>
      <c r="Q51" s="63" t="n"/>
      <c r="R51" s="63" t="n"/>
    </row>
    <row r="52">
      <c r="A52" s="78" t="n"/>
      <c r="B52" s="535" t="n"/>
      <c r="Q52" s="63" t="n"/>
      <c r="R52" s="63" t="n"/>
    </row>
    <row r="53">
      <c r="A53" s="78" t="n"/>
      <c r="B53" s="539" t="n"/>
      <c r="C53" s="541" t="n"/>
      <c r="D53" s="541" t="n"/>
      <c r="E53" s="541" t="n"/>
      <c r="F53" s="541" t="n"/>
      <c r="G53" s="541" t="n"/>
      <c r="H53" s="541" t="n"/>
      <c r="I53" s="541" t="n"/>
      <c r="J53" s="541" t="n"/>
      <c r="K53" s="541" t="n"/>
      <c r="L53" s="541" t="n"/>
      <c r="M53" s="541" t="n"/>
      <c r="N53" s="541" t="n"/>
      <c r="O53" s="541" t="n"/>
      <c r="P53" s="541"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7" t="n"/>
      <c r="I56" s="410" t="inlineStr">
        <is>
          <t>Fecha Aprobación</t>
        </is>
      </c>
      <c r="J56" s="527" t="n"/>
      <c r="K56" s="410" t="inlineStr">
        <is>
          <t>Firma</t>
        </is>
      </c>
      <c r="L56" s="527" t="n"/>
      <c r="M56" s="74" t="n"/>
      <c r="N56" s="74" t="n"/>
      <c r="O56" s="74" t="n"/>
      <c r="P56" s="74" t="n"/>
    </row>
    <row r="57" ht="28.5" customHeight="1" s="173">
      <c r="A57" s="78" t="n"/>
      <c r="B57" s="328" t="inlineStr">
        <is>
          <t>RESPONSABLE DEL ENTRENAMIENTO:</t>
        </is>
      </c>
      <c r="C57" s="528" t="n"/>
      <c r="D57" s="528" t="n"/>
      <c r="E57" s="528" t="n"/>
      <c r="F57" s="527" t="n"/>
      <c r="G57" s="495" t="inlineStr">
        <is>
          <t>Ing. Dalmecio Miranda</t>
        </is>
      </c>
      <c r="H57" s="472" t="n"/>
      <c r="I57" s="411">
        <f>K43</f>
        <v/>
      </c>
      <c r="J57" s="527" t="n"/>
      <c r="K57" s="550" t="n"/>
      <c r="L57" s="527" t="n"/>
      <c r="M57" s="74" t="n"/>
      <c r="N57" s="74" t="n"/>
      <c r="O57" s="74" t="n"/>
      <c r="P57" s="74" t="n"/>
    </row>
    <row r="58" ht="26.25" customHeight="1" s="173">
      <c r="A58" s="78" t="n"/>
      <c r="B58" s="551" t="inlineStr">
        <is>
          <t>RESPONSABLE DEL LABORATORIO</t>
        </is>
      </c>
      <c r="C58" s="528" t="n"/>
      <c r="D58" s="528" t="n"/>
      <c r="E58" s="528" t="n"/>
      <c r="F58" s="527" t="n"/>
      <c r="G58" s="497" t="inlineStr">
        <is>
          <t>Ing. Dalmecio Miranda</t>
        </is>
      </c>
      <c r="H58" s="472" t="n"/>
      <c r="I58" s="411">
        <f>K43</f>
        <v/>
      </c>
      <c r="J58" s="527" t="n"/>
      <c r="K58" s="550" t="n"/>
      <c r="L58" s="527" t="n"/>
      <c r="M58" s="74" t="n"/>
      <c r="N58" s="74" t="n"/>
      <c r="O58" s="74" t="n"/>
      <c r="P58" s="74" t="n"/>
    </row>
    <row r="59" ht="28.5" customHeight="1" s="173">
      <c r="A59" s="78" t="n"/>
      <c r="B59" s="328" t="inlineStr">
        <is>
          <t>PERSONAL ENTRENADO</t>
        </is>
      </c>
      <c r="C59" s="528" t="n"/>
      <c r="D59" s="528" t="n"/>
      <c r="E59" s="528" t="n"/>
      <c r="F59" s="527" t="n"/>
      <c r="G59" s="529" t="n"/>
      <c r="H59" s="527" t="n"/>
      <c r="I59" s="411">
        <f>K43</f>
        <v/>
      </c>
      <c r="J59" s="527" t="n"/>
      <c r="K59" s="550" t="n"/>
      <c r="L59" s="527"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7" t="n"/>
      <c r="E62" s="343" t="inlineStr">
        <is>
          <t>Código</t>
        </is>
      </c>
      <c r="F62" s="528" t="n"/>
      <c r="G62" s="527" t="n"/>
      <c r="H62" s="343" t="inlineStr">
        <is>
          <t>Matriz</t>
        </is>
      </c>
      <c r="I62" s="527" t="n"/>
      <c r="J62" s="414" t="inlineStr">
        <is>
          <t>Fecha</t>
        </is>
      </c>
      <c r="K62" s="553" t="inlineStr">
        <is>
          <t>Responsable de la
Re-evaluación</t>
        </is>
      </c>
      <c r="L62" s="527" t="n"/>
      <c r="M62" s="414" t="inlineStr">
        <is>
          <t>Resultado</t>
        </is>
      </c>
      <c r="N62" s="527" t="n"/>
      <c r="O62" s="86" t="inlineStr">
        <is>
          <t>Firma Jefe /Responsable del Area</t>
        </is>
      </c>
      <c r="P62" s="410" t="inlineStr">
        <is>
          <t>Observaciones</t>
        </is>
      </c>
    </row>
    <row r="63" ht="30.75" customHeight="1" s="173">
      <c r="A63" s="78" t="n"/>
      <c r="B63" s="288" t="n">
        <v>1</v>
      </c>
      <c r="C63" s="526" t="inlineStr">
        <is>
          <t>Asistencia</t>
        </is>
      </c>
      <c r="D63" s="527" t="n"/>
      <c r="E63" s="287" t="inlineStr">
        <is>
          <t>F-02</t>
        </is>
      </c>
      <c r="F63" s="528" t="n"/>
      <c r="G63" s="527" t="n"/>
      <c r="H63" s="287" t="inlineStr">
        <is>
          <t>Suelo</t>
        </is>
      </c>
      <c r="I63" s="527" t="n"/>
      <c r="J63" s="81" t="n">
        <v>45696</v>
      </c>
      <c r="K63" s="529" t="inlineStr">
        <is>
          <t>Ing. Dalmecio Miranda</t>
        </is>
      </c>
      <c r="L63" s="527" t="n"/>
      <c r="M63" s="288" t="inlineStr">
        <is>
          <t>Satisfactorio</t>
        </is>
      </c>
      <c r="N63" s="527" t="n"/>
      <c r="O63" s="80" t="n"/>
      <c r="P63" s="411" t="inlineStr">
        <is>
          <t>Ninguna</t>
        </is>
      </c>
    </row>
    <row r="64" ht="30.75" customHeight="1" s="173">
      <c r="A64" s="78" t="n"/>
      <c r="B64" s="84" t="n">
        <v>2</v>
      </c>
      <c r="C64" s="526" t="inlineStr">
        <is>
          <t xml:space="preserve">Supervisión </t>
        </is>
      </c>
      <c r="D64" s="527" t="n"/>
      <c r="E64" s="287" t="inlineStr">
        <is>
          <t>F-56</t>
        </is>
      </c>
      <c r="F64" s="528" t="n"/>
      <c r="G64" s="527" t="n"/>
      <c r="H64" s="287" t="inlineStr">
        <is>
          <t>Suelo</t>
        </is>
      </c>
      <c r="I64" s="527" t="n"/>
      <c r="J64" s="81" t="n">
        <v>45696</v>
      </c>
      <c r="K64" s="529" t="inlineStr">
        <is>
          <t>Ing. Dalmecio Miranda</t>
        </is>
      </c>
      <c r="L64" s="527" t="n"/>
      <c r="M64" s="288" t="inlineStr">
        <is>
          <t>Satisfactorio</t>
        </is>
      </c>
      <c r="N64" s="527" t="n"/>
      <c r="O64" s="83" t="n"/>
      <c r="P64" s="411" t="inlineStr">
        <is>
          <t>Ninguna</t>
        </is>
      </c>
    </row>
    <row r="65" ht="30.75" customHeight="1" s="173">
      <c r="A65" s="78" t="n"/>
      <c r="B65" s="288" t="n"/>
      <c r="C65" s="288" t="n"/>
      <c r="D65" s="527" t="n"/>
      <c r="E65" s="288" t="n"/>
      <c r="F65" s="528" t="n"/>
      <c r="G65" s="527" t="n"/>
      <c r="H65" s="288" t="n"/>
      <c r="I65" s="527" t="n"/>
      <c r="J65" s="81" t="n"/>
      <c r="K65" s="288" t="n"/>
      <c r="L65" s="527" t="n"/>
      <c r="M65" s="288" t="n"/>
      <c r="N65" s="527"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2026-03-17T16:26:57Z</dcterms:modified>
  <cp:lastModifiedBy>Santos Cari</cp:lastModifiedBy>
</cp:coreProperties>
</file>